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alização" sheetId="1" r:id="rId5"/>
    <sheet state="hidden" name="Planilha1" sheetId="2" r:id="rId6"/>
    <sheet state="hidden" name="SKUs" sheetId="3" r:id="rId7"/>
    <sheet state="hidden" name="ITENS NEGOCIADOS" sheetId="4" r:id="rId8"/>
    <sheet state="hidden" name="CRONOGRAMA" sheetId="5" r:id="rId9"/>
  </sheets>
  <definedNames>
    <definedName hidden="1" localSheetId="0" name="_xlnm._FilterDatabase">'Equalização'!$A$1:$HM$48</definedName>
  </definedNames>
  <calcPr/>
  <pivotCaches>
    <pivotCache cacheId="0" r:id="rId10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B1">
      <text>
        <t xml:space="preserve">Linha de Coleta, validar e testar antes. </t>
      </text>
    </comment>
  </commentList>
</comments>
</file>

<file path=xl/sharedStrings.xml><?xml version="1.0" encoding="utf-8"?>
<sst xmlns="http://schemas.openxmlformats.org/spreadsheetml/2006/main" count="1166" uniqueCount="559">
  <si>
    <t>LABORATORIO</t>
  </si>
  <si>
    <t>CLASSE</t>
  </si>
  <si>
    <t>FAMILIA</t>
  </si>
  <si>
    <t>MATERIAL</t>
  </si>
  <si>
    <t>DESCRIÇÃO MATERIAL</t>
  </si>
  <si>
    <t>Estado</t>
  </si>
  <si>
    <t>Unidade</t>
  </si>
  <si>
    <t>Nome da Unidade</t>
  </si>
  <si>
    <t>Nome Fornecedor</t>
  </si>
  <si>
    <t>Volume</t>
  </si>
  <si>
    <t xml:space="preserve"> Baseline</t>
  </si>
  <si>
    <t xml:space="preserve"> Preço medio realizado</t>
  </si>
  <si>
    <t>Preço Acordo Vigente</t>
  </si>
  <si>
    <t>Spend acordo</t>
  </si>
  <si>
    <t>Fornecedor Contrato vigente</t>
  </si>
  <si>
    <t>Preço médio
4T25 e 3T25</t>
  </si>
  <si>
    <t>Spend ano Atual Peers</t>
  </si>
  <si>
    <t>Spend mensal</t>
  </si>
  <si>
    <t>∆R$</t>
  </si>
  <si>
    <t>∆%</t>
  </si>
  <si>
    <t>Spend ano consumo</t>
  </si>
  <si>
    <t>Premissa deflatora</t>
  </si>
  <si>
    <t>Preço projetado</t>
  </si>
  <si>
    <t>Spend projetado
ano</t>
  </si>
  <si>
    <t>∆R$ projetado compras</t>
  </si>
  <si>
    <t>∆% ano compras</t>
  </si>
  <si>
    <t>∆R$ projetado consumo</t>
  </si>
  <si>
    <t>∆% ano consumo</t>
  </si>
  <si>
    <t>STATUS</t>
  </si>
  <si>
    <t>cronograma</t>
  </si>
  <si>
    <t>Fornecedor_final</t>
  </si>
  <si>
    <t>Preço unit</t>
  </si>
  <si>
    <t>Spend Cotado FINAL</t>
  </si>
  <si>
    <t>∆R$ Cotado</t>
  </si>
  <si>
    <t>∆%  Cotado</t>
  </si>
  <si>
    <t>FIRSTLAB</t>
  </si>
  <si>
    <t>MARCA</t>
  </si>
  <si>
    <t>BD MICRO.</t>
  </si>
  <si>
    <t>BD COLETA</t>
  </si>
  <si>
    <t>CRAL</t>
  </si>
  <si>
    <t>BMX MICRO.</t>
  </si>
  <si>
    <t>SARSTEDT</t>
  </si>
  <si>
    <t>POLAR FIX</t>
  </si>
  <si>
    <t>MAFRA</t>
  </si>
  <si>
    <t>TERA MEDICAL</t>
  </si>
  <si>
    <t>PLASTLABOR / LABORCLIN</t>
  </si>
  <si>
    <t>SENSORIAL</t>
  </si>
  <si>
    <t>SOL-MILLENIUM</t>
  </si>
  <si>
    <t>NEW PROV</t>
  </si>
  <si>
    <t>DNEDX(TESTE)</t>
  </si>
  <si>
    <t>DIPROMED</t>
  </si>
  <si>
    <t>DK Diag.</t>
  </si>
  <si>
    <t>DOBBER</t>
  </si>
  <si>
    <t>ADVAGEN</t>
  </si>
  <si>
    <t>ONMNIA</t>
  </si>
  <si>
    <t>BIO-RAD</t>
  </si>
  <si>
    <t>INJEX</t>
  </si>
  <si>
    <t>ABBOT TESTE RAPIDO</t>
  </si>
  <si>
    <t>MEDLEVERSOHN</t>
  </si>
  <si>
    <t>GLOBAL TESTES</t>
  </si>
  <si>
    <t>MASTER HIGIMED</t>
  </si>
  <si>
    <t>PROBAC</t>
  </si>
  <si>
    <t>LABTECH</t>
  </si>
  <si>
    <t xml:space="preserve">MARCA </t>
  </si>
  <si>
    <t>ADVAGEM</t>
  </si>
  <si>
    <t>AGAR LAB</t>
  </si>
  <si>
    <t>MOBIUS</t>
  </si>
  <si>
    <t>GREINER</t>
  </si>
  <si>
    <t>WERFEN</t>
  </si>
  <si>
    <t>B</t>
  </si>
  <si>
    <t>C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</si>
  <si>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</si>
  <si>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</si>
  <si>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</si>
  <si>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</si>
  <si>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</si>
  <si>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</si>
  <si>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</si>
  <si>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</si>
  <si>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</si>
  <si>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</si>
  <si>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</si>
  <si>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</si>
  <si>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2026</t>
  </si>
  <si>
    <t>CARRY-OVER 2027</t>
  </si>
  <si>
    <t>Inicio Captação</t>
  </si>
  <si>
    <t>FAROL</t>
  </si>
  <si>
    <t>∆R$
consumo</t>
  </si>
  <si>
    <t>∆%
ano</t>
  </si>
  <si>
    <t>INICIO CAPTAÇÃO</t>
  </si>
  <si>
    <t>SKU único (flag)</t>
  </si>
  <si>
    <t>SKU único por status (flag)</t>
  </si>
  <si>
    <t>Projeção captação</t>
  </si>
  <si>
    <t>Quadrante MATRIZ 2x2</t>
  </si>
  <si>
    <t>PRÉ ANALITICO</t>
  </si>
  <si>
    <t>TUBO</t>
  </si>
  <si>
    <t>TUBO CONECTOR INJETORA</t>
  </si>
  <si>
    <t>SP</t>
  </si>
  <si>
    <t>NDI-CD LAPA</t>
  </si>
  <si>
    <t>BAYER S.A.</t>
  </si>
  <si>
    <t>NÃO INICIADO</t>
  </si>
  <si>
    <t>SERINGA</t>
  </si>
  <si>
    <t>MS LUER ADAPTER 367290 BD REA SOL</t>
  </si>
  <si>
    <t>BECTON DICKINSON IND CIRURG LTDA</t>
  </si>
  <si>
    <t>BECTON DICKINSON INDUSTRIAS CIRURGI</t>
  </si>
  <si>
    <t>FINALIZADO</t>
  </si>
  <si>
    <t>VAC GEL SST 5ML 360060 TB 13X100MM</t>
  </si>
  <si>
    <t>AGULHA</t>
  </si>
  <si>
    <t>AGULHA MULTI COL SANG DISPSEG 21G 368607</t>
  </si>
  <si>
    <t>LABOR IMPORT</t>
  </si>
  <si>
    <t>ESCALPE</t>
  </si>
  <si>
    <t>ESCALPE COL SANG DISP SEGUR 23GX7 367256</t>
  </si>
  <si>
    <t>CE</t>
  </si>
  <si>
    <t>HAM-CD FORTALEZA</t>
  </si>
  <si>
    <t>TUBO HEMATOLOGIA AM SORO 3.5ML BD 360059</t>
  </si>
  <si>
    <t>TUBO 13X75MM C/CIT SODIO 2.7ML 363083</t>
  </si>
  <si>
    <t>BD VACUT UT/PB 23G 367392 SCALP 1</t>
  </si>
  <si>
    <t>AM</t>
  </si>
  <si>
    <t>HAM-HOSP SAO LUCAS</t>
  </si>
  <si>
    <t>BD</t>
  </si>
  <si>
    <t>PE</t>
  </si>
  <si>
    <t>HAM-CD RECIFE</t>
  </si>
  <si>
    <t>GO</t>
  </si>
  <si>
    <t>HAM-LABORATORIO JARDIM AMERICA</t>
  </si>
  <si>
    <t>VACUT K2 EDTA 4ML 360057 TB 13X75MM</t>
  </si>
  <si>
    <t>GREINER BIO-ONE BRASIL PRO MED HOSP</t>
  </si>
  <si>
    <t>BA</t>
  </si>
  <si>
    <t>HAM-CD SALVADOR</t>
  </si>
  <si>
    <t>SERINGA GASO C/HEPAR 2ML</t>
  </si>
  <si>
    <t>SARSTEDT LTDA</t>
  </si>
  <si>
    <t>FIRST LAB</t>
  </si>
  <si>
    <t>HAM-CD RIBEIRAO PRETO</t>
  </si>
  <si>
    <t>GLOBALMED BRASIL DISTRIBUIDORA</t>
  </si>
  <si>
    <t>MA</t>
  </si>
  <si>
    <t>HAM-CLINICA LIA VARELLA</t>
  </si>
  <si>
    <t>VAC GEL SST 3,5ML 360059 TB 13X75MM</t>
  </si>
  <si>
    <t>TUBO PLAS C/GEL SST 3.5ML PLUS 367983</t>
  </si>
  <si>
    <t>PR</t>
  </si>
  <si>
    <t>C.C. AGUA VERDE</t>
  </si>
  <si>
    <t>CIRURGICA SANTA CRUZ COM DE PROD HOSP</t>
  </si>
  <si>
    <t>TUBO BD VACUT EDTA 3ML - 360056</t>
  </si>
  <si>
    <t>HOSPITAL ONIX MATEUS LEME</t>
  </si>
  <si>
    <t>TESTE</t>
  </si>
  <si>
    <t>Material</t>
  </si>
  <si>
    <t>SIEMENS HEALTHCARE DIAGNOSTICOS LTDA</t>
  </si>
  <si>
    <t>ROCHE DIAGNOSTICA BRASIL LTDA</t>
  </si>
  <si>
    <t>PHADIA DIAGNOSTICOS LTDA</t>
  </si>
  <si>
    <t>MOBIUS LIFE SCIENCE INDUSTRIA E</t>
  </si>
  <si>
    <t>PROBAC DO BRASIL PRODUTOS BACTERIOL</t>
  </si>
  <si>
    <t>WERFEN MEDICAL LTDA</t>
  </si>
  <si>
    <t>AGAR LAB SERVICOS LTDA</t>
  </si>
  <si>
    <t>LABORCLIN LTDA</t>
  </si>
  <si>
    <t>DIPROMED COM E IMP LTDA</t>
  </si>
  <si>
    <t>ORTHO CLINICAL DIAGNOSTICS DO BRASIL</t>
  </si>
  <si>
    <t>BIOMERIEUX BRASIL SA</t>
  </si>
  <si>
    <t>DIAGNOSTICA BR SOLUCOES EM PROD MED</t>
  </si>
  <si>
    <t>3P MEDICAL LTDA</t>
  </si>
  <si>
    <t>DIASORIN LTDA.</t>
  </si>
  <si>
    <t>FIRSTLAB IND IMP E EXP PARA LAB</t>
  </si>
  <si>
    <t>BIO RAD LABORATORIO BRASIL LTDA</t>
  </si>
  <si>
    <t>NL COMERCIO EXTERIOR LTDA</t>
  </si>
  <si>
    <t>BIOCEN DO BRASIL LTDA</t>
  </si>
  <si>
    <t>LUMIRADX HEALTHCARE LTDA</t>
  </si>
  <si>
    <t>DIASORIN LTDA</t>
  </si>
  <si>
    <t>IMPORTADORA CEARENSE LTDA</t>
  </si>
  <si>
    <t>LABORCLIN PROD PARA LABOTARIOS LIMI</t>
  </si>
  <si>
    <t>SENSORIAL SAUDE DISTRIBUIDORA LTDA</t>
  </si>
  <si>
    <t>BIO-RAD LABORATORIOS BRASIL LTDA</t>
  </si>
  <si>
    <t>QIAGEN BIOTECNOLOGIA BRASIL LTDA.</t>
  </si>
  <si>
    <t>KONIMAGEM COMERCIAL LTDA</t>
  </si>
  <si>
    <t>ABBOTT DIAGNOSTICOS RAPIDOS S.A.</t>
  </si>
  <si>
    <t>ECO DIAGNOSTICA LTDA</t>
  </si>
  <si>
    <t>BIO RAD LABORATORIOS BRASIL LTDA</t>
  </si>
  <si>
    <t>MEDILYFE COMERCIO E IMP DE PRODUTOS</t>
  </si>
  <si>
    <t>CRAL ARTIGOS PARA LABORATORIO LTDA</t>
  </si>
  <si>
    <t>SUPERMED COM E IMP DE PROD MED</t>
  </si>
  <si>
    <t>FARMALAB EQUIPAMENTOS PARA LABORATO</t>
  </si>
  <si>
    <t>CANNECT SERVICOS DE INTERNET S/A</t>
  </si>
  <si>
    <t>CM HOSPITALAR S.A.</t>
  </si>
  <si>
    <t>COMERCIAL NAC DE PROD HOSPIT LTDA</t>
  </si>
  <si>
    <t>HARMONY CLIN SAUDE E ESTETICA LTDA</t>
  </si>
  <si>
    <t>COMERCIAL CIRURGICA RIOCLARENSE LTDA</t>
  </si>
  <si>
    <t>MJM PRODUTOS FARMACEUTICOS E DE</t>
  </si>
  <si>
    <t>STERIS SOLUTIONS DO BRASIL IMPORTAC</t>
  </si>
  <si>
    <t>POLAR FIX IND E COM DE PROD HOSP</t>
  </si>
  <si>
    <t>EQUIPOS MEDICOS COM E REPR LTDA</t>
  </si>
  <si>
    <t>PLAST LABO IND E COM DE EQUIP HOSP</t>
  </si>
  <si>
    <t>CARDIOSERVICE COM IND E SERV LTDA</t>
  </si>
  <si>
    <t>D MED MATERIAL MEDICO LABORATORIAL</t>
  </si>
  <si>
    <t>ORTHO CLINICAL DIAG DO BR PROD P/SA</t>
  </si>
  <si>
    <t>VYTTRA DIAGNOSTICOS S.A.</t>
  </si>
  <si>
    <t>FASTLAB COMERCIO E SERVICOS EIRELI</t>
  </si>
  <si>
    <t>VYTTRA DIAGNOSTICOS IMPORT E EXPORT</t>
  </si>
  <si>
    <t>CBS MEDICO CIENTIFICA LTDA</t>
  </si>
  <si>
    <t>GASTROVISION PRODUTOS E EQUIPAMENTO</t>
  </si>
  <si>
    <t>DERMATOFLORA LTDA ME</t>
  </si>
  <si>
    <t>REGIONAL FORTALEZA DIST PROD RADIOL</t>
  </si>
  <si>
    <t>QUIBASA QUIMICA BASICA LTDA</t>
  </si>
  <si>
    <t>FUJIFILM DO BRASIL LTDA</t>
  </si>
  <si>
    <t>MAX MEDICAL COM DE PROD MED E HOSP LTDA</t>
  </si>
  <si>
    <t>ENDO-DERME FORMULAS MAGISTRAIS LTDA</t>
  </si>
  <si>
    <t>REPIFARMA COMERCIAL DE MEDICAMENTOS</t>
  </si>
  <si>
    <t>MASTER DIAGNOSTICA PRODUTOS LABOR E</t>
  </si>
  <si>
    <t>CICLA DISTRIB DE PROD PARA DIAGNOST</t>
  </si>
  <si>
    <t>ERVIEGAS QUIMICA FINA E PLASTICOS L</t>
  </si>
  <si>
    <t>SYSMEX DO BRASIL INDUSTRIA E COM LT</t>
  </si>
  <si>
    <t>DOBBER COMERCIO E REPRESENTACOES LT</t>
  </si>
  <si>
    <t>A P TORTELLI COM PRODUTOS MEDICOS H</t>
  </si>
  <si>
    <t>MEDICAL MERCANTIL DE APARELHAGEM ME</t>
  </si>
  <si>
    <t>DECIO CAMARGO PROD E EQUIP PARA LAB</t>
  </si>
  <si>
    <t>UNIVEN LTDA</t>
  </si>
  <si>
    <t>HHUB - COMERCIO E SERVICOS LTDA</t>
  </si>
  <si>
    <t>WORLD MEDIC SERVICOS DE CONSULTORIA</t>
  </si>
  <si>
    <t>QUALYS DIAGNOSTICOS COMERCIO LTDA.</t>
  </si>
  <si>
    <t>BHIO SUPPLY INDUS.E COMER DE EQUIP</t>
  </si>
  <si>
    <t>ALKO DO BRASIL INDUSTRIA E COMERCIO</t>
  </si>
  <si>
    <t>RESMEDICAL EQUIPAMENTOS HOSPITALARE</t>
  </si>
  <si>
    <t>ATHAN COMMERCE EQUIP MED HOSP LTDA</t>
  </si>
  <si>
    <t>GLEIDSON RODRIGUES RANULFO EIRELI</t>
  </si>
  <si>
    <t>TRIOMED COM REPRES E ASSIST TÉCNICA</t>
  </si>
  <si>
    <t>SULPLASTICO COMERCIAL LTDA</t>
  </si>
  <si>
    <t>HELP SAUDE STORE LTDA</t>
  </si>
  <si>
    <t>LICIMASTER DISTRIBUIDORA DE</t>
  </si>
  <si>
    <t>ATOS MEDICA COM REPRES PROD MED HOS</t>
  </si>
  <si>
    <t>CM HOSPITALAR SA</t>
  </si>
  <si>
    <t>INSTRUMENTAL TECNICO LTDA</t>
  </si>
  <si>
    <t>EQUIPOS MEDICOS COM.E REP LTDA</t>
  </si>
  <si>
    <t>CASA NATURALIS PRODUTOS LABORATORIA</t>
  </si>
  <si>
    <t>UNISCOPE COMERCIO IMPORTACAO E</t>
  </si>
  <si>
    <t>AIMARA COMERCIO E REPRESENTACOES LT</t>
  </si>
  <si>
    <t>ECONOLAB CIENTIFICA PRODUTOS LABORA</t>
  </si>
  <si>
    <t>MEDLEVENSOHN COMERC REPRESENTAC PRO</t>
  </si>
  <si>
    <t>INTERLAB DISTRIB DE PRODUTOS CIENTI</t>
  </si>
  <si>
    <t>PROSPECT SOLUCOES DIAGNOSTICO LTDA</t>
  </si>
  <si>
    <t>VISION MEDICA LTDA</t>
  </si>
  <si>
    <t>CIRURGICA RIBEIRAO PRETO LTDA</t>
  </si>
  <si>
    <t>DOBBER COMERCIO E REPRESENTACOES LTDA</t>
  </si>
  <si>
    <t>ESSENTIAL MED IMP E EXP</t>
  </si>
  <si>
    <t>ADUNA COM IMP E EXP DE PROD HOSP EI</t>
  </si>
  <si>
    <t>VITALE COMERCIO S.A.</t>
  </si>
  <si>
    <t>AABA COMERCIO DE EQUIPAMENTOS MEDIC</t>
  </si>
  <si>
    <t>LABTECH PRODUTOS PARA LABORATORIOS</t>
  </si>
  <si>
    <t>VITALE COMERCIO LTDA-EPP</t>
  </si>
  <si>
    <t>VASCONCELOS COM DE PROD HOSPITALARES LTDA</t>
  </si>
  <si>
    <t>AJL DISTRIBUIDORA DE MED E MAT HOSP</t>
  </si>
  <si>
    <t>COMERCIAL CIRURGICA RIOCLARENSE LTD</t>
  </si>
  <si>
    <t>MEDLEVENSOHN COM E REPR DE PROD HOSP LTDA</t>
  </si>
  <si>
    <t>POLAR FIX INDUSTRIA E COM DE PROD H</t>
  </si>
  <si>
    <t>PHARMA IMPORT SOLUTIONS LTDA</t>
  </si>
  <si>
    <t>E.R. TRINDADE</t>
  </si>
  <si>
    <t>LDM COMERCIO E REPRESENTACOES LTDA</t>
  </si>
  <si>
    <t>MEDSALUS COMERCIO DE MEDICAMENTOS L</t>
  </si>
  <si>
    <t>ALPHARAD INDUSTRIA COMERCIO IMPORTA</t>
  </si>
  <si>
    <t>AVMEDI COM E SERV DE EQUIP MED E HOSP</t>
  </si>
  <si>
    <t>HL MED COMERCIAL DE PROD HOSP LTDA</t>
  </si>
  <si>
    <t>A.F.P INDUSTRIA E COMERCIO DE PLAST</t>
  </si>
  <si>
    <t>APA COMERCIO DE PRODUTOS MEDICOS</t>
  </si>
  <si>
    <t>CRUDO PLAST INDUSTRIA E COMERCIO LT</t>
  </si>
  <si>
    <t>PLUSPHARMA DISTRIBUICAO EIRELI</t>
  </si>
  <si>
    <t>ALCON BRASIL CUIDADOS COM A SAUDE L</t>
  </si>
  <si>
    <t>DPROSMED DISTR DE PROD MED-HOSP</t>
  </si>
  <si>
    <t>LIBEMA PRODUTOS HOSPITALARES LTDA</t>
  </si>
  <si>
    <t>DECIO CAMARGO PROD E EQUIP LABORATO</t>
  </si>
  <si>
    <t>BIOMERIEUX BRA IND E COMERC DE PROD</t>
  </si>
  <si>
    <t>MAPEMI BRASIL MAT MED E ODONT LTDA</t>
  </si>
  <si>
    <t>DIAG SOLUTION ARTIGOS MEDICOS LTDA</t>
  </si>
  <si>
    <t>M. DE F. L. PINTO EIRELI</t>
  </si>
  <si>
    <t>SOMA PROD HOSPITALARES LTDA</t>
  </si>
  <si>
    <t>COMPARINI &amp; COMPARINI LTDA</t>
  </si>
  <si>
    <t>QUEBEC COMERCIAL LTDA</t>
  </si>
  <si>
    <t>GLOBAL COMERCIO REPRESENTAC SERVIC</t>
  </si>
  <si>
    <t>CASA NATURALIS PROD LABORATORIAIS LTDA</t>
  </si>
  <si>
    <t>VEOLIA WATER TECHNOLOGIES BRASIL LT</t>
  </si>
  <si>
    <t>CIENCOR SCIENTIFIC LTDA</t>
  </si>
  <si>
    <t>LIFE TECHNOLOGIES BR C IND PROD BIO</t>
  </si>
  <si>
    <t>FORMULA PAULISTA MANIPULACAO E DROG</t>
  </si>
  <si>
    <t>BRASIL SHOPPING EIRELI</t>
  </si>
  <si>
    <t>CONTROLLER COMERCIO E SERVICOS LTDA</t>
  </si>
  <si>
    <t>PROEL COMERCIO E SERVICOS LTDA EPP</t>
  </si>
  <si>
    <t>NOROA EQUIP MED E HOSPIT LTDA</t>
  </si>
  <si>
    <t>SELLMED PRODUTOS MEDICOS E HOSPITAL</t>
  </si>
  <si>
    <t>ONCO PROD DISTR DE PROD HOSP</t>
  </si>
  <si>
    <t>NK MEDICAL LTDA</t>
  </si>
  <si>
    <t>GLOBALLAB PRODUTOS PARA SAUDE LTDA</t>
  </si>
  <si>
    <t>METHABIO FARMACEUTICA DO BRASIL LTD</t>
  </si>
  <si>
    <t>PHARMAKON DISTRIBUIDORA LTDA</t>
  </si>
  <si>
    <t>GABISA MEDICAL INTERNATIONAL S.A.</t>
  </si>
  <si>
    <t>JUSIMED IMPORTAC E COMERCDE PRODUT</t>
  </si>
  <si>
    <t>DROGARIA SOARES LTDA</t>
  </si>
  <si>
    <t>SINTESE FARMACEUTICA LTDA</t>
  </si>
  <si>
    <t>PROTEC EXPORT IND CO I EXP EQU M HO</t>
  </si>
  <si>
    <t>DPCBRASIL INDUSTRIA E COMERCIO EIRE</t>
  </si>
  <si>
    <t>DIAMED LATINO AMERICA S.A.</t>
  </si>
  <si>
    <t>FRANLAB COMERCIO E REPRESENTACOES D</t>
  </si>
  <si>
    <t>PANAMERICANA DISTRIBUIDORA LTDA</t>
  </si>
  <si>
    <t>MASTER DIAGNOSTICA PROD LAB E HOSP LTDA</t>
  </si>
  <si>
    <t>CM HOSPITALAR S.A RECIFE</t>
  </si>
  <si>
    <t>ZAMMI INSTRUMENTAL LTDA</t>
  </si>
  <si>
    <t>AMGS COMERCIO E REPRESENTACOES LTDA</t>
  </si>
  <si>
    <t>CIRURGICA BRASILEIRA COMERCIO DE</t>
  </si>
  <si>
    <t>PROMOVET COMERCIO DE PRODUTOS MEDIC</t>
  </si>
  <si>
    <t>INDUSTRIA E COMERCIO DE PRODUTOS CI</t>
  </si>
  <si>
    <t>MEDICNORTE EIRELI</t>
  </si>
  <si>
    <t>AMAZONMED COMERCIO DE MEDICAMENTOS</t>
  </si>
  <si>
    <t>IMPORT MED COMERCIAL LTDA</t>
  </si>
  <si>
    <t>KLEMMEN IMPORTACOES LTDA</t>
  </si>
  <si>
    <t>TRAUMINAS DIST DE MAT C HOSPITALARE</t>
  </si>
  <si>
    <t>BMG DISTRIBUIDORA DE PRODUTOS HOSP</t>
  </si>
  <si>
    <t>MAEVE PRODUTOS HOSPITALARES LTDA</t>
  </si>
  <si>
    <t>RIO GB PAPEIS EIRELI</t>
  </si>
  <si>
    <t>TKS COMERCIO DE PRODUTOS E MAT HOSP</t>
  </si>
  <si>
    <t>BRASFARMA COMERCIO DE MEDICAMENTOS</t>
  </si>
  <si>
    <t>SOMA/SP PRODUTOS HOSPITALARES LTDA</t>
  </si>
  <si>
    <t>GREINER BIO ONE BRASIL PRODUTOS MED</t>
  </si>
  <si>
    <t>DEFENDI COMERCIO DE EQUIP E PRODUTO</t>
  </si>
  <si>
    <t>SELLENE COMERCIO E REPRESENTACOES L</t>
  </si>
  <si>
    <t>M S DIAGNOSTICA LTDA</t>
  </si>
  <si>
    <t>SALUTE VITA FARMACIA DE MANIPULACAO</t>
  </si>
  <si>
    <t>AUTO SUTURE DO BRASIL LTDA</t>
  </si>
  <si>
    <t>ENDOCTOR PRODUTOS MEDICOS LTDA ME</t>
  </si>
  <si>
    <t>MEDRA BRASIL MEDICAMENTOS LTDA</t>
  </si>
  <si>
    <t>A2 COMERCIO DE MATERIAL HOSPITALAR</t>
  </si>
  <si>
    <t>QUALITY COMMERCE DISTRIBUIDOR HOSPITALAR</t>
  </si>
  <si>
    <t>DIAMED LATINO AMERICA S.A</t>
  </si>
  <si>
    <t>BMR MEDICAL LTDA</t>
  </si>
  <si>
    <t>CAMINHAS COMERCIAL LTDA</t>
  </si>
  <si>
    <t>LABTECH PRODUTOS PARA LAB. E HOSP.L</t>
  </si>
  <si>
    <t>P.R. COMERCIAL MEDICA LTDA</t>
  </si>
  <si>
    <t>CBS MEDICO CIENTIFICA COM. E REP. L</t>
  </si>
  <si>
    <t>MEDMASTER COMERCIAL LTDA</t>
  </si>
  <si>
    <t>PH 7 COMERCIO E REPRESENTACOES DE</t>
  </si>
  <si>
    <t>SOUZA FRANCO &amp; OLIVEIRA LTDA</t>
  </si>
  <si>
    <t>COMERCIAL VALFARMA LTDA</t>
  </si>
  <si>
    <t>GUSSON EQUIPAMENTOS MED E HOSPITALA</t>
  </si>
  <si>
    <t>IBF INDUSTRIA BRASILEIRA DE FI</t>
  </si>
  <si>
    <t>ALPHARAD COMERC IMP E EXP DE PROD H</t>
  </si>
  <si>
    <t>RESENDE PRODUTOS MEDICOS LTDA</t>
  </si>
  <si>
    <t>LIBRALAB MATERIAIS E SERV TECN PARA</t>
  </si>
  <si>
    <t>UNIMAC MATERIAL CIRURGICO E HOSPITA</t>
  </si>
  <si>
    <t>LAMBERG MATERIAL HOSPITALAR LT</t>
  </si>
  <si>
    <t>SHAMMAH COMERCIO DE MATERIAIS LTDA</t>
  </si>
  <si>
    <t>CIRURGICA FERNANDES LTDA</t>
  </si>
  <si>
    <t>FARMATEX DO BRASIL S.A.</t>
  </si>
  <si>
    <t>LIBEWA GRAFICOS ESPECIAIS LTDA</t>
  </si>
  <si>
    <t>UNNI MEDICAL LTDA</t>
  </si>
  <si>
    <t>E TAMUSSINO E CIA LTDA</t>
  </si>
  <si>
    <t>A. SEABRA DE ARAUJO</t>
  </si>
  <si>
    <t>REAL LAB PRODUTOS E EQUIPAMENTOS PA</t>
  </si>
  <si>
    <t>ARAUJO COM DE PROD HOSPITALARES</t>
  </si>
  <si>
    <t>COMERCIO DE EMBALAGENS E DESCART LE</t>
  </si>
  <si>
    <t>NORTE GREEN COM DE PROD FARMACEUT E</t>
  </si>
  <si>
    <t>CIRURGICA BONAPARTE LTDA</t>
  </si>
  <si>
    <t>CIRURGICA SANTA CRUZ COM DE PRODUT</t>
  </si>
  <si>
    <t>ADAPT PRODUTOS OFTALMOLOGICOS LTDA</t>
  </si>
  <si>
    <t>FARMATEX DO BRASIL S/A</t>
  </si>
  <si>
    <t>ALD DISTR E REPRES HOSPITALAR LTDA</t>
  </si>
  <si>
    <t>HOSP CENTER COM DE PROD ODON MEDIC</t>
  </si>
  <si>
    <t>BENTES SOUSA &amp; CIA LTDA</t>
  </si>
  <si>
    <t>TOTAL PLASTICOS LTDA</t>
  </si>
  <si>
    <t>R G LAB PRODUTOS E SERVICOS LABORAT</t>
  </si>
  <si>
    <t>F L V DA SILVA LTDA</t>
  </si>
  <si>
    <t>CM HOSPITALAR S.A</t>
  </si>
  <si>
    <t>SCAN DIAGNOSTICA INDUSTRIA E COMERC</t>
  </si>
  <si>
    <t>MCW PRODUTOS MEDICOS E HOSPITALARES</t>
  </si>
  <si>
    <t>R.O.CARVALHO DO NASCIMENTO</t>
  </si>
  <si>
    <t>AVMEDI COMERC E SERV DE EQUIP MED E</t>
  </si>
  <si>
    <t>DIPROMED COMERCIO E IMPORTACAO LTDA</t>
  </si>
  <si>
    <t>VENTCARE INDUSTRIA E COMERCIO LTDA</t>
  </si>
  <si>
    <t>BIOSAVE-DIAGNOSTICA LTDA</t>
  </si>
  <si>
    <t>CIRUFARMA COMERCIAL LTDA</t>
  </si>
  <si>
    <t>MEDTRONIC COMERCIAL LTDA</t>
  </si>
  <si>
    <t>PAPELARIA E BAZAR POLGRYMAS LTDA</t>
  </si>
  <si>
    <t>TERMOLAF INSTRUMENTOS DE MEDIC</t>
  </si>
  <si>
    <t>HIPROMED-MORIAH COMERCIO, IMPORTACA</t>
  </si>
  <si>
    <t>SERRA NORTE IMPLANTES LTDA</t>
  </si>
  <si>
    <t>M T PORTO COMERCIO E REPRESENTACOES</t>
  </si>
  <si>
    <t>ALACER INDUSTRIA ELETRONICA LTDA</t>
  </si>
  <si>
    <t>CASA DO PLASTICO RIBEIRAOPRETANA LT</t>
  </si>
  <si>
    <t>CENTRAL DE ARTIGOS PARA LABORATORIO</t>
  </si>
  <si>
    <t>SANTA RITA COMERCIAL LTDA</t>
  </si>
  <si>
    <t>PROCIMED HOSPITALAR E CIENTIFICA LT</t>
  </si>
  <si>
    <t>MEDILAR IMP E DISTR PROD MED HOSP</t>
  </si>
  <si>
    <t>CIRURGICA FREITAS LTDA</t>
  </si>
  <si>
    <t>4 BIO MEDICAMENTOS S.A.</t>
  </si>
  <si>
    <t>PROHOSPITAL COM REPRESENTAC HOLANDA</t>
  </si>
  <si>
    <t>EVOLUÇÃO DISTRIBUIDORA PRODUTO PARA</t>
  </si>
  <si>
    <t>COMPANHIA DO MEDICO COMERCIAL LTDA</t>
  </si>
  <si>
    <t>UNNO FARMACEUTICA LTDA</t>
  </si>
  <si>
    <t>CASTRO COMERCIO E REPRESENTACOES LTDA</t>
  </si>
  <si>
    <t>SUPERMED COMERCIO E IMPORTACAO DE P</t>
  </si>
  <si>
    <t>DGTECH INDUSTRIA E COMERCIO LTDA</t>
  </si>
  <si>
    <t>DENTAL NEXT COMERCIO DE PRODUTOS OD</t>
  </si>
  <si>
    <t>COMISSAO NACIONAL DE ENERGIA NUCLEA</t>
  </si>
  <si>
    <t>VITALLIS DIAGNOSTICA LTDA</t>
  </si>
  <si>
    <t>FORMULA FARMA FARMACIA LTDA</t>
  </si>
  <si>
    <t>MEDICAL SHOPPING COMERCIO DE PRODUT</t>
  </si>
  <si>
    <t>M V MARTINS</t>
  </si>
  <si>
    <t>FUTURA COM DE PROD MED E HOSP</t>
  </si>
  <si>
    <t>PHOSPODONT LTDA</t>
  </si>
  <si>
    <t>CENTERMASTER COMERCIO IMPORT EXPORT</t>
  </si>
  <si>
    <t>MRM COMERCIO LTDA</t>
  </si>
  <si>
    <t>LOJAO DAS CLINICAS LTDA</t>
  </si>
  <si>
    <t>BD DISTRIBUIDORA DE MED E MATERIAIS</t>
  </si>
  <si>
    <t>IMP EQUIPAMENTOS MEDICOS LTDA</t>
  </si>
  <si>
    <t>PHILIPS MEDICAL SYSTEMS LTDA</t>
  </si>
  <si>
    <t>DISTRIMED DISTRIB DE MED E INSUMOS</t>
  </si>
  <si>
    <t>SIGMA-ALDRICH BRASIL LTDA</t>
  </si>
  <si>
    <t>ATTACKMED COMERCIO DE MATERIA MED E</t>
  </si>
  <si>
    <t>MSY PHARMA IMP E COMERCIO DE PROD S</t>
  </si>
  <si>
    <t>DISTRIBUIDORA DE DROGAS LTDA</t>
  </si>
  <si>
    <t>NONA TECNOLOGIA INDUSTRIA,COMERCIO</t>
  </si>
  <si>
    <t>LONDRICIR COMERCIO DE MATERIAL HOSP</t>
  </si>
  <si>
    <t>FUTURA COMERCIO DE PRODUTOS MED E H</t>
  </si>
  <si>
    <t>DISTRIBUIDORA DE MEDICAMENTOS MAXIM</t>
  </si>
  <si>
    <t>BOSTON SCIENTIFIC DO BRASIL LTDA</t>
  </si>
  <si>
    <t>J NERVAL DE SOUSA</t>
  </si>
  <si>
    <t>PROMEDICAL EQUIPAMENTOS MEDICOS LTD</t>
  </si>
  <si>
    <t>TAF DISTRIBUIDORA DE ALIMENTOS E BE</t>
  </si>
  <si>
    <t>FUFA COMERCIO DE PRODUTOS HOSPITALARES</t>
  </si>
  <si>
    <t>CIENTIFICA MEDICA HOSPITALAR LTDA</t>
  </si>
  <si>
    <t>RONDA INSPECOES E CONSULTORIA LTDA</t>
  </si>
  <si>
    <t>REPRESS DISTR DE MEDICAMENTOS</t>
  </si>
  <si>
    <t>SAMEH SOLUCOES HOSPITALARES LTDA</t>
  </si>
  <si>
    <t>ROSS MEDICAL LTDA</t>
  </si>
  <si>
    <t>HIGILIFE PRODUTOS PARA LABORATORIOS</t>
  </si>
  <si>
    <t>ONCO PROD DISTRIB DE PROD HOSP E ON</t>
  </si>
  <si>
    <t>MONTEIRO ANTUNES INSUMOS HOSPITALAR</t>
  </si>
  <si>
    <t>HPF SURGICAL LTDA</t>
  </si>
  <si>
    <t>FRESENIUS KABI BRASIL LTDA</t>
  </si>
  <si>
    <t>INOVAMED HOSPITALAR LTDA</t>
  </si>
  <si>
    <t>HANDLE COM DE EQUIP MEDICOS LTDA</t>
  </si>
  <si>
    <t>SYMEX PRODUTOS MEDICOS HOSPITALARES</t>
  </si>
  <si>
    <t>FARMACIA DO LARGO DONA REGINA LTDA</t>
  </si>
  <si>
    <t>ZILFARMA PRODUTOS FARMACEUTICOS LTDA</t>
  </si>
  <si>
    <t>MUNDO DIET LTDA</t>
  </si>
  <si>
    <t>DINAMICA COM DE PROD HOSPITALARES LTDA</t>
  </si>
  <si>
    <t>HDL LOGISTICA HOSPITALAR LTDA</t>
  </si>
  <si>
    <t>PROMEDON DO BRASIL PROD MED HOSP</t>
  </si>
  <si>
    <t>DROGARIA VINTE E DOIS DE SETEMBRO</t>
  </si>
  <si>
    <t>HULTRAMIX ATAC, EXP E IMP LTDA</t>
  </si>
  <si>
    <t>ERIKA FARIAS VELOSO DE OLIVEIRA EIR</t>
  </si>
  <si>
    <t>CIRURGICA BEZERRA DISTRIBUIDORA LTDA</t>
  </si>
  <si>
    <t>CM HOSPITALAR S A</t>
  </si>
  <si>
    <t>ALTAMED DISTRIBUIDORA DE MEDIC LTDA</t>
  </si>
  <si>
    <t>MEDICAL SUTURE COMERCIO DE MATERIAL</t>
  </si>
  <si>
    <t>AIR LIQUIDE BRASIL LTDA</t>
  </si>
  <si>
    <t>ELEMENTUS FARMACIA DE MANIPULACAO L</t>
  </si>
  <si>
    <t>DIAGNOSTICA INDUSTRIA E COMERCIO LT</t>
  </si>
  <si>
    <t>MERCK SA</t>
  </si>
  <si>
    <t>CAMARGO SCIENCE SOLUCOES DIAGNOSTIC</t>
  </si>
  <si>
    <t>CONTROL LAB CONT DE QUALID P/ LABOR</t>
  </si>
  <si>
    <t>R B BITENCURT</t>
  </si>
  <si>
    <t>GLOBOMED COMERCIAL LTDA</t>
  </si>
  <si>
    <t>DISTRIBUIDORA CIRURGICA 19 DE ABRIL LTDA</t>
  </si>
  <si>
    <t>AUTOPEL AUTOMACAO COMERCIAL E INFORMATICA</t>
  </si>
  <si>
    <t>HOSPFAR IND E COM DE PROD HOSP</t>
  </si>
  <si>
    <t>DIETPHARMA FARMACIA DE MANIPUL</t>
  </si>
  <si>
    <t>BIO INFINITY COMERCIO HOSPITALAR E</t>
  </si>
  <si>
    <t>MD FARMA COMERCIO DE MEDICAMENTOS</t>
  </si>
  <si>
    <t>LABSYNTH PRODUTOS PARA LABORATORIOS</t>
  </si>
  <si>
    <t>ELLO DISTRIBUIDORA DE MEDICAMENTOS</t>
  </si>
  <si>
    <t>TRIOMED COMERCIO, REPRESENTACOES E</t>
  </si>
  <si>
    <t>TECNOCENTER MATERIAIS MEDICOS</t>
  </si>
  <si>
    <t>ADRILUR C DE PROD DE LIMP E DESC LT</t>
  </si>
  <si>
    <t>DIFARMIG LTDA</t>
  </si>
  <si>
    <t>MARQUES &amp; DUARTE COM E DIST P MED H</t>
  </si>
  <si>
    <t>GUILBER FARMACEUTICA COM LTDA</t>
  </si>
  <si>
    <t>MEDICA HOSPITALAR COM E REPRESENT L</t>
  </si>
  <si>
    <t>FARMATER MEDICAMENTOS LTDA</t>
  </si>
  <si>
    <t>SOARES &amp; FEIJAO EMBALAGENS LTDA</t>
  </si>
  <si>
    <t>COPEXMED DISTR DE MED E MAT HOSP LTDA</t>
  </si>
  <si>
    <t>CRITICALMED PRODUTOS MEDICO HOSPITA</t>
  </si>
  <si>
    <t>QUALIS SOLUCOES PARA SAUDE LTDA</t>
  </si>
  <si>
    <t>ALCON BRASIL CUIDADOS COM A SAUDE</t>
  </si>
  <si>
    <t>VR HOSPITALAR LTDA</t>
  </si>
  <si>
    <t>F CARDOSO E CIA LTDA</t>
  </si>
  <si>
    <t>OESA COMERCIO E REPRESENTACOES S/A</t>
  </si>
  <si>
    <t>CIRUPAR - COMERCIO DE EQUIPAME</t>
  </si>
  <si>
    <t>DINAMICA DISTRIBUIDORA DE MEDICAMENTOS</t>
  </si>
  <si>
    <t>SAO LUCAS DISTRIB DE PROD FARMAC E</t>
  </si>
  <si>
    <t>CIRURGICA RITSON COMERCIO DE PRODUT</t>
  </si>
  <si>
    <t>VITABAHIA COMERCIO E IMPORTACAO LTD</t>
  </si>
  <si>
    <t>MEDICAL HOSP ASSESSORIA E SERVICOS</t>
  </si>
  <si>
    <t>DIMED COMERCIO HOSPITALAR E REPRESE</t>
  </si>
  <si>
    <t>INTENSIVEMED IMPORTACAO E COMERCIO</t>
  </si>
  <si>
    <t>EMBRAMEDICA PRODUTOS DE LABORATORIO</t>
  </si>
  <si>
    <t>LOPES DISTRIBUIDORA DE UTENSILIOS</t>
  </si>
  <si>
    <t>ORGANIZACAO FARMACEUTICA FORMULARIU</t>
  </si>
  <si>
    <t>ASTEM COMERCIO REPRESENTACOES E SER</t>
  </si>
  <si>
    <t>TOLKEN MEDICAL COMERC DE ART MED HO</t>
  </si>
  <si>
    <t>FARMACIA GLOBO LTDA</t>
  </si>
  <si>
    <t>DROGARIA VINTE E DOIS DE SETEMBRO L</t>
  </si>
  <si>
    <t>ROYALMED HOSPITALAR LTDA</t>
  </si>
  <si>
    <t>KHRYS-TEC EIRELI</t>
  </si>
  <si>
    <t>DROGARIA NOSSA SRA APARECIDA DO MARACANA LTDA</t>
  </si>
  <si>
    <t>MANIPULAR COMERCIO DE MEDICAMENTOS</t>
  </si>
  <si>
    <t>PHARMA LOG PRODUTOS FARMACEUTICOS L</t>
  </si>
  <si>
    <t>OCTALAB-SULEIDE DE PAULA FARMACIA D</t>
  </si>
  <si>
    <t>RIBERSAUDE HOSPITALAR RP LTDA</t>
  </si>
  <si>
    <t>ZELO COMERCIO E DISTRIBUIDORA</t>
  </si>
  <si>
    <t>MACULAN ATACADISTA LTDA</t>
  </si>
  <si>
    <t>MEDICAMENTAL HOSPITALAR LTDA</t>
  </si>
  <si>
    <t>PUBLIC MED COMERCIO E IMPORTAC</t>
  </si>
  <si>
    <t>FARMAC PRODUTOS HOSPITALARES E</t>
  </si>
  <si>
    <t>NUTRICLIN SAUDE COM PROD NUTRICIONA</t>
  </si>
  <si>
    <t>CENTRO PAULISTA DE DESENV FARMACOTE</t>
  </si>
  <si>
    <t>BIOMAX REAGENTES E EQUIPAMENTOS EIR</t>
  </si>
  <si>
    <t>ONIX HOSPITALAR LTDA</t>
  </si>
  <si>
    <t>ATM MEDICAL - EQUIPAMENTOS M LTDA</t>
  </si>
  <si>
    <t>RHOSSE INSTRUMENTOS E EQUIP CIRURGI</t>
  </si>
  <si>
    <t>BMG DISTRIBUIDORA DE PRODUTOS HOSPI</t>
  </si>
  <si>
    <t>HTS TECNOLOGIA EM SAUDE COM IMP E EXP</t>
  </si>
  <si>
    <t>CALLFARMA COMERCIO DE MEDICAME</t>
  </si>
  <si>
    <t>ESSENCIALMED COMERCIO DE MEDICAMENTOS</t>
  </si>
  <si>
    <t>DOCE MERCADO DISTRIBUIDORA LTDA</t>
  </si>
  <si>
    <t>DROGARIA E PERFUMARIA SANTA EDWIGES</t>
  </si>
  <si>
    <t>SINCO-SUPRIMENTOS DE INF E COMERCIO</t>
  </si>
  <si>
    <t>UNIFAR DISTRIBUIDORA DE MEDICAMENTO</t>
  </si>
  <si>
    <t>FOUR MED DISTR HOSPITALAR IMP LTDA</t>
  </si>
  <si>
    <t>JB FARMA COMERCIO DE MEDICAMENTOS E</t>
  </si>
  <si>
    <t>FRAN'S PHARMA FARMACIA DE MANIPULAC</t>
  </si>
  <si>
    <t>Total geral</t>
  </si>
  <si>
    <t>1-Cronograma de spend negociado - Baseline consumo</t>
  </si>
  <si>
    <t>Baseline</t>
  </si>
  <si>
    <t>Projetado</t>
  </si>
  <si>
    <t>Realizado</t>
  </si>
  <si>
    <t>Negociação</t>
  </si>
  <si>
    <t>%</t>
  </si>
  <si>
    <t>Dados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</si>
  <si>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</si>
  <si>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</si>
  <si>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</si>
  <si>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</si>
  <si>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</si>
  <si>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</si>
  <si>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</si>
  <si>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</si>
  <si>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</si>
  <si>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</si>
  <si>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</si>
  <si>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</si>
  <si>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Concluida</t>
  </si>
  <si>
    <t>% sobre projetado</t>
  </si>
  <si>
    <t>% sobre baseline</t>
  </si>
  <si>
    <t>Qtde sku´s</t>
  </si>
  <si>
    <t>Legenda:</t>
  </si>
  <si>
    <t>Concluído</t>
  </si>
  <si>
    <t>Em andamento</t>
  </si>
  <si>
    <t>Portfólio em negociação pela Accenture</t>
  </si>
  <si>
    <t>Sku´s</t>
  </si>
  <si>
    <t>Potencial saving</t>
  </si>
  <si>
    <t>Siemens</t>
  </si>
  <si>
    <t>Roche</t>
  </si>
  <si>
    <t>Total</t>
  </si>
  <si>
    <t>2-Cronograma de captação de saving</t>
  </si>
  <si>
    <t>Meta</t>
  </si>
  <si>
    <t>Captação</t>
  </si>
  <si>
    <t>carry-over</t>
  </si>
  <si>
    <t>% sobre meta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</si>
</sst>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??_-;_-@"/>
    <numFmt numFmtId="165" formatCode="_-* #,##0.00_-;\-* #,##0.00_-;_-* &quot;-&quot;??_-;_-@"/>
    <numFmt numFmtId="166" formatCode="0.0%"/>
    <numFmt numFmtId="167" formatCode="#,##0_ ;\-#,##0\ "/>
    <numFmt numFmtId="168" formatCode="_(* #,##0_);_(* \(#,##0\);_(* &quot;-&quot;??_);_(@_)"/>
    <numFmt numFmtId="169" formatCode="0.0000%"/>
  </numFmts>
  <fonts count="16">
    <font>
      <sz val="11.0"/>
      <color theme="1"/>
      <name val="Calibri"/>
      <scheme val="minor"/>
    </font>
    <font>
      <b/>
      <sz val="11.0"/>
      <color theme="1"/>
      <name val="Aptos Narrow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theme="1"/>
      <name val="Aptos Narrow"/>
    </font>
    <font>
      <b/>
      <sz val="10.0"/>
      <color theme="1"/>
      <name val="Aptos Narrow"/>
    </font>
    <font>
      <sz val="11.0"/>
      <color theme="0"/>
      <name val="Calibri"/>
    </font>
    <font>
      <sz val="11.0"/>
      <color theme="1"/>
      <name val="Calibri"/>
    </font>
    <font>
      <color theme="1"/>
      <name val="Calibri"/>
    </font>
    <font>
      <b/>
      <sz val="10.0"/>
      <color rgb="FF000000"/>
      <name val="Calibri"/>
    </font>
    <font>
      <color theme="1"/>
      <name val="Calibri"/>
      <scheme val="minor"/>
    </font>
    <font>
      <b/>
      <sz val="12.0"/>
      <color theme="1"/>
      <name val="Aptos Narrow"/>
    </font>
    <font>
      <b/>
      <sz val="10.0"/>
      <color theme="0"/>
      <name val="Aptos Narrow"/>
    </font>
    <font/>
    <font>
      <b/>
      <i/>
      <sz val="10.0"/>
      <color theme="1"/>
      <name val="Aptos Narrow"/>
    </font>
    <font>
      <sz val="10.0"/>
      <color theme="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</fills>
  <borders count="28">
    <border/>
    <border>
      <left/>
      <right/>
      <top/>
      <bottom/>
    </border>
    <border>
      <bottom style="thin">
        <color rgb="FFF2F2F2"/>
      </bottom>
    </border>
    <border>
      <left/>
      <right/>
      <top/>
      <bottom style="thin">
        <color rgb="FFF2F2F2"/>
      </bottom>
    </border>
    <border>
      <top style="thin">
        <color rgb="FFF2F2F2"/>
      </top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  <border>
      <left style="thin">
        <color rgb="FFA5A5A5"/>
      </left>
    </border>
    <border>
      <left style="medium">
        <color theme="0"/>
      </left>
      <top style="medium">
        <color theme="0"/>
      </top>
      <bottom style="medium">
        <color theme="0"/>
      </bottom>
    </border>
    <border>
      <top style="medium">
        <color theme="0"/>
      </top>
      <bottom style="medium">
        <color theme="0"/>
      </bottom>
    </border>
    <border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theme="0"/>
      </left>
      <right/>
      <top style="medium">
        <color theme="0"/>
      </top>
      <bottom/>
    </border>
    <border>
      <left/>
      <right/>
      <top style="medium">
        <color theme="0"/>
      </top>
      <bottom/>
    </border>
    <border>
      <left/>
      <right style="medium">
        <color theme="0"/>
      </right>
      <top style="medium">
        <color theme="0"/>
      </top>
      <bottom/>
    </border>
    <border>
      <left/>
      <right/>
      <top/>
      <bottom style="thin">
        <color rgb="FF8EAADB"/>
      </bottom>
    </border>
    <border>
      <left style="medium">
        <color theme="0"/>
      </left>
      <right/>
      <top/>
      <bottom style="thin">
        <color rgb="FF8EAADB"/>
      </bottom>
    </border>
    <border>
      <left/>
      <right style="medium">
        <color theme="0"/>
      </right>
      <top/>
      <bottom style="thin">
        <color rgb="FF8EAADB"/>
      </bottom>
    </border>
    <border>
      <left/>
      <right/>
      <top style="thin">
        <color rgb="FF8EAADB"/>
      </top>
      <bottom/>
    </border>
    <border>
      <left/>
      <right style="medium">
        <color theme="0"/>
      </right>
      <top style="thin">
        <color rgb="FF8EAADB"/>
      </top>
      <bottom/>
    </border>
    <border>
      <left style="medium">
        <color theme="0"/>
      </left>
      <right/>
      <top style="thin">
        <color rgb="FF8EAADB"/>
      </top>
      <bottom/>
    </border>
    <border>
      <left style="medium">
        <color theme="0"/>
      </left>
      <right/>
      <top/>
      <bottom/>
    </border>
    <border>
      <right style="medium">
        <color theme="0"/>
      </right>
    </border>
    <border>
      <left style="medium">
        <color theme="0"/>
      </left>
    </border>
    <border>
      <bottom style="thin">
        <color rgb="FFD8D8D8"/>
      </bottom>
    </border>
    <border>
      <left style="medium">
        <color theme="0"/>
      </left>
      <bottom style="thin">
        <color rgb="FFD8D8D8"/>
      </bottom>
    </border>
    <border>
      <right style="medium">
        <color theme="0"/>
      </right>
      <bottom style="thin">
        <color rgb="FFD8D8D8"/>
      </bottom>
    </border>
    <border>
      <left style="medium">
        <color theme="0"/>
      </left>
      <right/>
      <top style="thin">
        <color rgb="FFD8D8D8"/>
      </top>
      <bottom/>
    </border>
    <border>
      <left/>
      <right/>
      <top style="thin">
        <color rgb="FFD8D8D8"/>
      </top>
      <bottom/>
    </border>
    <border>
      <left/>
      <right style="medium">
        <color theme="0"/>
      </right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left" vertical="center"/>
    </xf>
    <xf borderId="1" fillId="2" fontId="3" numFmtId="164" xfId="0" applyAlignment="1" applyBorder="1" applyFont="1" applyNumberFormat="1">
      <alignment horizontal="left" vertical="center"/>
    </xf>
    <xf borderId="1" fillId="2" fontId="3" numFmtId="0" xfId="0" applyAlignment="1" applyBorder="1" applyFont="1">
      <alignment horizontal="center" vertical="center"/>
    </xf>
    <xf borderId="1" fillId="2" fontId="3" numFmtId="165" xfId="0" applyAlignment="1" applyBorder="1" applyFont="1" applyNumberFormat="1">
      <alignment horizontal="left" vertical="center"/>
    </xf>
    <xf borderId="1" fillId="5" fontId="1" numFmtId="0" xfId="0" applyAlignment="1" applyBorder="1" applyFill="1" applyFont="1">
      <alignment horizontal="center" vertical="center"/>
    </xf>
    <xf borderId="0" fillId="0" fontId="4" numFmtId="0" xfId="0" applyFont="1"/>
    <xf borderId="2" fillId="0" fontId="4" numFmtId="0" xfId="0" applyBorder="1" applyFont="1"/>
    <xf borderId="3" fillId="6" fontId="4" numFmtId="0" xfId="0" applyBorder="1" applyFill="1" applyFont="1"/>
    <xf borderId="2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center"/>
    </xf>
    <xf borderId="2" fillId="0" fontId="4" numFmtId="164" xfId="0" applyBorder="1" applyFont="1" applyNumberFormat="1"/>
    <xf borderId="2" fillId="0" fontId="4" numFmtId="165" xfId="0" applyBorder="1" applyFont="1" applyNumberFormat="1"/>
    <xf borderId="3" fillId="6" fontId="5" numFmtId="165" xfId="0" applyBorder="1" applyFont="1" applyNumberFormat="1"/>
    <xf borderId="2" fillId="0" fontId="4" numFmtId="9" xfId="0" applyAlignment="1" applyBorder="1" applyFont="1" applyNumberFormat="1">
      <alignment horizontal="center"/>
    </xf>
    <xf borderId="2" fillId="0" fontId="5" numFmtId="165" xfId="0" applyBorder="1" applyFont="1" applyNumberFormat="1"/>
    <xf borderId="2" fillId="0" fontId="4" numFmtId="166" xfId="0" applyAlignment="1" applyBorder="1" applyFont="1" applyNumberFormat="1">
      <alignment horizontal="center"/>
    </xf>
    <xf borderId="2" fillId="0" fontId="4" numFmtId="166" xfId="0" applyBorder="1" applyFont="1" applyNumberFormat="1"/>
    <xf borderId="2" fillId="0" fontId="4" numFmtId="9" xfId="0" applyBorder="1" applyFont="1" applyNumberFormat="1"/>
    <xf borderId="0" fillId="0" fontId="4" numFmtId="165" xfId="0" applyFont="1" applyNumberFormat="1"/>
    <xf borderId="0" fillId="0" fontId="4" numFmtId="2" xfId="0" applyFont="1" applyNumberFormat="1"/>
    <xf borderId="0" fillId="0" fontId="6" numFmtId="165" xfId="0" applyFont="1" applyNumberFormat="1"/>
    <xf borderId="0" fillId="0" fontId="7" numFmtId="164" xfId="0" applyFont="1" applyNumberFormat="1"/>
    <xf borderId="0" fillId="0" fontId="7" numFmtId="166" xfId="0" applyFont="1" applyNumberFormat="1"/>
    <xf borderId="0" fillId="0" fontId="4" numFmtId="164" xfId="0" applyFont="1" applyNumberFormat="1"/>
    <xf borderId="4" fillId="0" fontId="4" numFmtId="0" xfId="0" applyBorder="1" applyFont="1"/>
    <xf borderId="5" fillId="6" fontId="4" numFmtId="0" xfId="0" applyBorder="1" applyFont="1"/>
    <xf borderId="4" fillId="0" fontId="4" numFmtId="0" xfId="0" applyAlignment="1" applyBorder="1" applyFont="1">
      <alignment horizontal="left"/>
    </xf>
    <xf borderId="4" fillId="0" fontId="4" numFmtId="0" xfId="0" applyAlignment="1" applyBorder="1" applyFont="1">
      <alignment horizontal="center"/>
    </xf>
    <xf borderId="4" fillId="0" fontId="4" numFmtId="165" xfId="0" applyBorder="1" applyFont="1" applyNumberFormat="1"/>
    <xf borderId="4" fillId="0" fontId="4" numFmtId="164" xfId="0" applyBorder="1" applyFont="1" applyNumberFormat="1"/>
    <xf borderId="4" fillId="0" fontId="5" numFmtId="165" xfId="0" applyBorder="1" applyFont="1" applyNumberFormat="1"/>
    <xf borderId="4" fillId="0" fontId="4" numFmtId="164" xfId="0" applyAlignment="1" applyBorder="1" applyFont="1" applyNumberFormat="1">
      <alignment horizontal="center"/>
    </xf>
    <xf borderId="4" fillId="0" fontId="4" numFmtId="9" xfId="0" applyAlignment="1" applyBorder="1" applyFont="1" applyNumberFormat="1">
      <alignment horizontal="center"/>
    </xf>
    <xf borderId="4" fillId="0" fontId="4" numFmtId="166" xfId="0" applyAlignment="1" applyBorder="1" applyFont="1" applyNumberFormat="1">
      <alignment horizontal="center"/>
    </xf>
    <xf borderId="4" fillId="0" fontId="4" numFmtId="166" xfId="0" applyBorder="1" applyFont="1" applyNumberForma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4" numFmtId="165" xfId="0" applyAlignment="1" applyFont="1" applyNumberFormat="1">
      <alignment horizontal="center"/>
    </xf>
    <xf borderId="6" fillId="0" fontId="4" numFmtId="0" xfId="0" applyBorder="1" applyFont="1"/>
    <xf borderId="0" fillId="0" fontId="8" numFmtId="0" xfId="0" applyFont="1"/>
    <xf borderId="1" fillId="2" fontId="9" numFmtId="0" xfId="0" applyAlignment="1" applyBorder="1" applyFont="1">
      <alignment horizontal="left" vertical="center"/>
    </xf>
    <xf borderId="0" fillId="0" fontId="10" numFmtId="0" xfId="0" applyFont="1"/>
    <xf borderId="0" fillId="0" fontId="10" numFmtId="165" xfId="0" applyFont="1" applyNumberFormat="1"/>
    <xf borderId="0" fillId="0" fontId="11" numFmtId="0" xfId="0" applyFont="1"/>
    <xf borderId="0" fillId="0" fontId="4" numFmtId="167" xfId="0" applyFont="1" applyNumberFormat="1"/>
    <xf borderId="0" fillId="0" fontId="4" numFmtId="168" xfId="0" applyFont="1" applyNumberFormat="1"/>
    <xf borderId="7" fillId="7" fontId="12" numFmtId="0" xfId="0" applyAlignment="1" applyBorder="1" applyFill="1" applyFont="1">
      <alignment horizontal="center" vertical="center"/>
    </xf>
    <xf borderId="8" fillId="0" fontId="13" numFmtId="0" xfId="0" applyBorder="1" applyFont="1"/>
    <xf borderId="9" fillId="0" fontId="13" numFmtId="0" xfId="0" applyBorder="1" applyFont="1"/>
    <xf borderId="0" fillId="0" fontId="4" numFmtId="9" xfId="0" applyFont="1" applyNumberFormat="1"/>
    <xf borderId="10" fillId="2" fontId="12" numFmtId="9" xfId="0" applyAlignment="1" applyBorder="1" applyFont="1" applyNumberFormat="1">
      <alignment horizontal="center" vertical="center"/>
    </xf>
    <xf borderId="11" fillId="2" fontId="12" numFmtId="9" xfId="0" applyAlignment="1" applyBorder="1" applyFont="1" applyNumberFormat="1">
      <alignment horizontal="center" vertical="center"/>
    </xf>
    <xf borderId="11" fillId="2" fontId="12" numFmtId="9" xfId="0" applyAlignment="1" applyBorder="1" applyFont="1" applyNumberFormat="1">
      <alignment horizontal="left" vertical="center"/>
    </xf>
    <xf borderId="12" fillId="2" fontId="12" numFmtId="9" xfId="0" applyAlignment="1" applyBorder="1" applyFont="1" applyNumberFormat="1">
      <alignment horizontal="left" vertical="center"/>
    </xf>
    <xf borderId="13" fillId="8" fontId="5" numFmtId="0" xfId="0" applyAlignment="1" applyBorder="1" applyFill="1" applyFont="1">
      <alignment horizontal="center"/>
    </xf>
    <xf borderId="14" fillId="8" fontId="5" numFmtId="0" xfId="0" applyAlignment="1" applyBorder="1" applyFont="1">
      <alignment horizontal="center"/>
    </xf>
    <xf borderId="15" fillId="8" fontId="5" numFmtId="0" xfId="0" applyAlignment="1" applyBorder="1" applyFont="1">
      <alignment horizontal="center"/>
    </xf>
    <xf borderId="16" fillId="8" fontId="5" numFmtId="0" xfId="0" applyAlignment="1" applyBorder="1" applyFont="1">
      <alignment horizontal="left"/>
    </xf>
    <xf borderId="17" fillId="8" fontId="5" numFmtId="164" xfId="0" applyAlignment="1" applyBorder="1" applyFont="1" applyNumberFormat="1">
      <alignment horizontal="center"/>
    </xf>
    <xf borderId="18" fillId="8" fontId="5" numFmtId="164" xfId="0" applyAlignment="1" applyBorder="1" applyFont="1" applyNumberFormat="1">
      <alignment horizontal="center"/>
    </xf>
    <xf borderId="16" fillId="8" fontId="5" numFmtId="164" xfId="0" applyAlignment="1" applyBorder="1" applyFont="1" applyNumberFormat="1">
      <alignment horizontal="center"/>
    </xf>
    <xf borderId="16" fillId="8" fontId="5" numFmtId="0" xfId="0" applyAlignment="1" applyBorder="1" applyFont="1">
      <alignment horizontal="center"/>
    </xf>
    <xf borderId="17" fillId="8" fontId="5" numFmtId="0" xfId="0" applyAlignment="1" applyBorder="1" applyFont="1">
      <alignment horizontal="center"/>
    </xf>
    <xf borderId="19" fillId="3" fontId="4" numFmtId="164" xfId="0" applyBorder="1" applyFont="1" applyNumberFormat="1"/>
    <xf borderId="1" fillId="3" fontId="4" numFmtId="164" xfId="0" applyBorder="1" applyFont="1" applyNumberFormat="1"/>
    <xf borderId="1" fillId="9" fontId="4" numFmtId="164" xfId="0" applyBorder="1" applyFill="1" applyFont="1" applyNumberFormat="1"/>
    <xf borderId="20" fillId="0" fontId="4" numFmtId="164" xfId="0" applyBorder="1" applyFont="1" applyNumberFormat="1"/>
    <xf borderId="21" fillId="0" fontId="4" numFmtId="9" xfId="0" applyBorder="1" applyFont="1" applyNumberFormat="1"/>
    <xf borderId="22" fillId="0" fontId="14" numFmtId="0" xfId="0" applyBorder="1" applyFont="1"/>
    <xf borderId="22" fillId="0" fontId="14" numFmtId="9" xfId="0" applyBorder="1" applyFont="1" applyNumberFormat="1"/>
    <xf borderId="23" fillId="0" fontId="14" numFmtId="9" xfId="0" applyBorder="1" applyFont="1" applyNumberFormat="1"/>
    <xf borderId="24" fillId="0" fontId="14" numFmtId="0" xfId="0" applyBorder="1" applyFont="1"/>
    <xf borderId="25" fillId="3" fontId="4" numFmtId="164" xfId="0" applyBorder="1" applyFont="1" applyNumberFormat="1"/>
    <xf borderId="26" fillId="3" fontId="4" numFmtId="164" xfId="0" applyBorder="1" applyFont="1" applyNumberFormat="1"/>
    <xf borderId="20" fillId="0" fontId="4" numFmtId="0" xfId="0" applyBorder="1" applyFont="1"/>
    <xf borderId="0" fillId="0" fontId="14" numFmtId="0" xfId="0" applyFont="1"/>
    <xf borderId="0" fillId="0" fontId="14" numFmtId="169" xfId="0" applyFont="1" applyNumberFormat="1"/>
    <xf borderId="21" fillId="0" fontId="14" numFmtId="9" xfId="0" applyBorder="1" applyFont="1" applyNumberFormat="1"/>
    <xf borderId="20" fillId="0" fontId="14" numFmtId="0" xfId="0" applyBorder="1" applyFont="1"/>
    <xf borderId="0" fillId="0" fontId="15" numFmtId="0" xfId="0" applyFont="1"/>
    <xf borderId="1" fillId="10" fontId="5" numFmtId="0" xfId="0" applyBorder="1" applyFill="1" applyFont="1"/>
    <xf borderId="1" fillId="10" fontId="5" numFmtId="164" xfId="0" applyBorder="1" applyFont="1" applyNumberFormat="1"/>
    <xf borderId="12" fillId="2" fontId="12" numFmtId="9" xfId="0" applyAlignment="1" applyBorder="1" applyFont="1" applyNumberFormat="1">
      <alignment horizontal="center" vertical="center"/>
    </xf>
    <xf borderId="27" fillId="3" fontId="4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57575"/>
                </a:solidFill>
                <a:latin typeface="+mn-lt"/>
              </a:defRPr>
            </a:pPr>
            <a:r>
              <a:rPr b="1" i="0" sz="1100">
                <a:solidFill>
                  <a:srgbClr val="757575"/>
                </a:solidFill>
                <a:latin typeface="+mn-lt"/>
              </a:rPr>
              <a:t>Evolução frente a baseline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CRONOGRAMA!$S$2:$S$3</c:f>
            </c:strRef>
          </c:cat>
          <c:val>
            <c:numRef>
              <c:f>CRONOGRAMA!$T$2:$T$3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1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57575"/>
                </a:solidFill>
                <a:latin typeface="+mn-lt"/>
              </a:defRPr>
            </a:pPr>
            <a:r>
              <a:rPr b="1" i="0" sz="1100">
                <a:solidFill>
                  <a:srgbClr val="757575"/>
                </a:solidFill>
                <a:latin typeface="+mn-lt"/>
              </a:rPr>
              <a:t>Evolução frente a projetado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CRONOGRAMA!$X$2:$X$3</c:f>
            </c:strRef>
          </c:cat>
          <c:val>
            <c:numRef>
              <c:f>CRONOGRAMA!$Y$2:$Y$3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1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57575"/>
                </a:solidFill>
                <a:latin typeface="+mn-lt"/>
              </a:defRPr>
            </a:pPr>
            <a:r>
              <a:rPr b="1" i="0" sz="1100">
                <a:solidFill>
                  <a:srgbClr val="757575"/>
                </a:solidFill>
                <a:latin typeface="+mn-lt"/>
              </a:rPr>
              <a:t>Evolução frente a meta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CRONOGRAMA!$S$28:$S$29</c:f>
            </c:strRef>
          </c:cat>
          <c:val>
            <c:numRef>
              <c:f>CRONOGRAMA!$T$28:$T$29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1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100">
                <a:solidFill>
                  <a:srgbClr val="757575"/>
                </a:solidFill>
                <a:latin typeface="+mn-lt"/>
              </a:defRPr>
            </a:pPr>
            <a:r>
              <a:rPr b="1" i="0" sz="1100">
                <a:solidFill>
                  <a:srgbClr val="757575"/>
                </a:solidFill>
                <a:latin typeface="+mn-lt"/>
              </a:rPr>
              <a:t>Evolução frente a projetado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CRONOGRAMA!$X$28:$X$29</c:f>
            </c:strRef>
          </c:cat>
          <c:val>
            <c:numRef>
              <c:f>CRONOGRAMA!$Y$28:$Y$29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1"/>
      </c:doughnut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142875</xdr:colOff>
      <xdr:row>6</xdr:row>
      <xdr:rowOff>19050</xdr:rowOff>
    </xdr:from>
    <xdr:ext cx="3219450" cy="19907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219075</xdr:colOff>
      <xdr:row>6</xdr:row>
      <xdr:rowOff>19050</xdr:rowOff>
    </xdr:from>
    <xdr:ext cx="3333750" cy="1990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0</xdr:colOff>
      <xdr:row>32</xdr:row>
      <xdr:rowOff>0</xdr:rowOff>
    </xdr:from>
    <xdr:ext cx="3209925" cy="20859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76200</xdr:colOff>
      <xdr:row>32</xdr:row>
      <xdr:rowOff>0</xdr:rowOff>
    </xdr:from>
    <xdr:ext cx="3333750" cy="20859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495300</xdr:colOff>
      <xdr:row>17</xdr:row>
      <xdr:rowOff>76200</xdr:rowOff>
    </xdr:from>
    <xdr:ext cx="6181725" cy="1057275"/>
    <xdr:sp>
      <xdr:nvSpPr>
        <xdr:cNvPr id="3" name="Shape 3"/>
        <xdr:cNvSpPr/>
      </xdr:nvSpPr>
      <xdr:spPr>
        <a:xfrm>
          <a:off x="2259900" y="3256125"/>
          <a:ext cx="6172200" cy="1047750"/>
        </a:xfrm>
        <a:prstGeom prst="rect">
          <a:avLst/>
        </a:prstGeom>
        <a:noFill/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  <a:effectLst>
          <a:outerShdw blurRad="50800" rotWithShape="0" algn="tr" dir="81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514350</xdr:colOff>
      <xdr:row>12</xdr:row>
      <xdr:rowOff>95250</xdr:rowOff>
    </xdr:from>
    <xdr:ext cx="1933575" cy="704850"/>
    <xdr:sp>
      <xdr:nvSpPr>
        <xdr:cNvPr id="4" name="Shape 4"/>
        <xdr:cNvSpPr/>
      </xdr:nvSpPr>
      <xdr:spPr>
        <a:xfrm>
          <a:off x="4383975" y="3432338"/>
          <a:ext cx="1924050" cy="695325"/>
        </a:xfrm>
        <a:prstGeom prst="rect">
          <a:avLst/>
        </a:prstGeom>
        <a:noFill/>
        <a:ln cap="flat" cmpd="sng" w="12700">
          <a:solidFill>
            <a:srgbClr val="1C3052"/>
          </a:solidFill>
          <a:prstDash val="solid"/>
          <a:miter lim="80"/>
          <a:headEnd len="sm" w="sm" type="none"/>
          <a:tailEnd len="sm" w="sm" type="none"/>
        </a:ln>
        <a:effectLst>
          <a:outerShdw blurRad="50800" rotWithShape="0" algn="tr" dir="81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HI48" sheet="Equalização"/>
  </cacheSource>
  <cacheFields>
    <cacheField name="LABORATORIO">
      <sharedItems containsMixedTypes="1" containsNumber="1" containsInteger="1">
        <s v="LABORATORIO"/>
        <n v="159.0"/>
      </sharedItems>
    </cacheField>
    <cacheField name="CLASSE" numFmtId="0">
      <sharedItems>
        <s v="PRÉ ANALITICO"/>
      </sharedItems>
    </cacheField>
    <cacheField name="FAMILIA" numFmtId="0">
      <sharedItems>
        <s v="TUBO"/>
        <s v="SERINGA"/>
        <s v="AGULHA"/>
        <s v="ESCALPE"/>
      </sharedItems>
    </cacheField>
    <cacheField name="MATERIAL" numFmtId="0">
      <sharedItems containsSemiMixedTypes="0" containsString="0" containsNumber="1" containsInteger="1">
        <n v="209340.0"/>
        <n v="225698.0"/>
        <n v="212235.0"/>
        <n v="150420.0"/>
        <n v="171430.0"/>
        <n v="211181.0"/>
        <n v="152794.0"/>
        <n v="197223.0"/>
        <n v="212236.0"/>
        <n v="213624.0"/>
        <n v="212234.0"/>
        <n v="139779.0"/>
        <n v="198361.0"/>
      </sharedItems>
    </cacheField>
    <cacheField name="DESCRIÇÃO MATERIAL" numFmtId="0">
      <sharedItems>
        <s v="TUBO CONECTOR INJETORA"/>
        <s v="MS LUER ADAPTER 367290 BD REA SOL"/>
        <s v="VAC GEL SST 5ML 360060 TB 13X100MM"/>
        <s v="AGULHA MULTI COL SANG DISPSEG 21G 368607"/>
        <s v="ESCALPE COL SANG DISP SEGUR 23GX7 367256"/>
        <s v="TUBO HEMATOLOGIA AM SORO 3.5ML BD 360059"/>
        <s v="TUBO 13X75MM C/CIT SODIO 2.7ML 363083"/>
        <s v="BD VACUT UT/PB 23G 367392 SCALP 1"/>
        <s v="VACUT K2 EDTA 4ML 360057 TB 13X75MM"/>
        <s v="SERINGA GASO C/HEPAR 2ML"/>
        <s v="VAC GEL SST 3,5ML 360059 TB 13X75MM"/>
        <s v="TUBO PLAS C/GEL SST 3.5ML PLUS 367983"/>
        <s v="TUBO BD VACUT EDTA 3ML - 360056"/>
      </sharedItems>
    </cacheField>
    <cacheField name="Estado" numFmtId="0">
      <sharedItems>
        <s v="SP"/>
        <s v="CE"/>
        <s v="AM"/>
        <s v="PE"/>
        <s v="GO"/>
        <s v="BA"/>
        <s v="MA"/>
        <s v="PR"/>
      </sharedItems>
    </cacheField>
    <cacheField name="Unidade" numFmtId="0">
      <sharedItems containsSemiMixedTypes="0" containsString="0" containsNumber="1" containsInteger="1">
        <n v="3069.0"/>
        <n v="2045.0"/>
        <n v="2245.0"/>
        <n v="2044.0"/>
        <n v="2235.0"/>
        <n v="2043.0"/>
        <n v="2277.0"/>
        <n v="2294.0"/>
        <n v="9209.0"/>
        <n v="9245.0"/>
      </sharedItems>
    </cacheField>
    <cacheField name="Nome da Unidade" numFmtId="0">
      <sharedItems>
        <s v="NDI-CD LAPA"/>
        <s v="HAM-CD FORTALEZA"/>
        <s v="HAM-HOSP SAO LUCAS"/>
        <s v="HAM-CD RECIFE"/>
        <s v="HAM-LABORATORIO JARDIM AMERICA"/>
        <s v="HAM-CD SALVADOR"/>
        <s v="HAM-CD RIBEIRAO PRETO"/>
        <s v="HAM-CLINICA LIA VARELLA"/>
        <s v="C.C. AGUA VERDE"/>
        <s v="HOSPITAL ONIX MATEUS LEME"/>
      </sharedItems>
    </cacheField>
    <cacheField name="Nome Fornecedor" numFmtId="0">
      <sharedItems>
        <s v="BAYER S.A."/>
        <s v="BECTON DICKINSON IND CIRURG LTDA"/>
        <s v="BECTON DICKINSON INDUSTRIAS CIRURGI"/>
        <s v="GREINER BIO-ONE BRASIL PRO MED HOSP"/>
        <s v="SARSTEDT LTDA"/>
        <s v="GLOBALMED BRASIL DISTRIBUIDORA"/>
        <s v="CIRURGICA SANTA CRUZ COM DE PROD HOSP"/>
      </sharedItems>
    </cacheField>
    <cacheField name="Volume" numFmtId="0">
      <sharedItems containsSemiMixedTypes="0" containsString="0" containsNumber="1" containsInteger="1">
        <n v="78687.0"/>
        <n v="999100.0"/>
        <n v="1829500.0"/>
        <n v="1578672.0"/>
        <n v="344600.0"/>
        <n v="1534100.0"/>
        <n v="302800.0"/>
        <n v="641900.0"/>
        <n v="203100.0"/>
        <n v="228450.0"/>
        <n v="130050.0"/>
        <n v="755000.0"/>
        <n v="1148700.0"/>
        <n v="578400.0"/>
        <n v="106750.0"/>
        <n v="205200.0"/>
        <n v="568752.0"/>
        <n v="603700.0"/>
        <n v="684000.0"/>
        <n v="261010.0"/>
        <n v="162400.0"/>
        <n v="527900.0"/>
        <n v="527000.0"/>
        <n v="800000.0"/>
        <n v="300400.0"/>
        <n v="376992.0"/>
        <n v="66000.0"/>
        <n v="357376.0"/>
        <n v="252700.0"/>
        <n v="400200.0"/>
        <n v="388800.0"/>
        <n v="310368.0"/>
        <n v="167700.0"/>
        <n v="552300.0"/>
        <n v="350000.0"/>
        <n v="521400.0"/>
        <n v="181008.0"/>
        <n v="314500.0"/>
        <n v="64050.0"/>
        <n v="253248.0"/>
        <n v="293000.0"/>
        <n v="431500.0"/>
        <n v="53000.0"/>
        <n v="57000.0"/>
        <n v="78000.0"/>
        <n v="270000.0"/>
        <n v="218100.0"/>
      </sharedItems>
    </cacheField>
    <cacheField name=" Baseline" numFmtId="164">
      <sharedItems containsSemiMixedTypes="0" containsString="0" containsNumber="1">
        <n v="1407014.0899999999"/>
        <n v="1167946.71"/>
        <n v="1079394.73"/>
        <n v="1057735.63"/>
        <n v="951078.1200000001"/>
        <n v="859096.0000000001"/>
        <n v="834624.52"/>
        <n v="783118.0"/>
        <n v="761625.0"/>
        <n v="630522.0"/>
        <n v="487687.5"/>
        <n v="445446.10000000003"/>
        <n v="425019.0"/>
        <n v="414050.55000000005"/>
        <n v="400312.5"/>
        <n v="395325.92000000004"/>
        <n v="381065.25000000006"/>
        <n v="356183.0"/>
        <n v="324758.89"/>
        <n v="318432.2"/>
        <n v="314904.63999999996"/>
        <n v="311461.0"/>
        <n v="310930.0"/>
        <n v="295998.8"/>
        <n v="267356.0"/>
        <n v="252585.84"/>
        <n v="247500.0"/>
        <n v="241013.68"/>
        <n v="224903.0"/>
        <n v="224109.38"/>
        <n v="217725.92999999993"/>
        <n v="207946.56000000003"/>
        <n v="204594.0"/>
        <n v="204351.0"/>
        <n v="196000.00000000003"/>
        <n v="192918.0"/>
        <n v="186945.6"/>
        <n v="176117.48"/>
        <n v="175961.5"/>
        <n v="169676.16"/>
        <n v="164079.35"/>
        <n v="159655.0"/>
        <n v="157940.0"/>
        <n v="157320.0"/>
        <n v="152131.2"/>
        <n v="151199.92"/>
        <n v="140212.0"/>
      </sharedItems>
    </cacheField>
    <cacheField name=" Preço medio realizado" numFmtId="165">
      <sharedItems containsSemiMixedTypes="0" containsString="0" containsNumber="1">
        <n v="17.88115050770775"/>
        <n v="1.1689988089280352"/>
        <n v="0.5899943864443837"/>
        <n v="0.6700160831382326"/>
        <n v="2.7599481137550788"/>
        <n v="0.56"/>
        <n v="2.7563557463672392"/>
        <n v="1.22"/>
        <n v="3.75"/>
        <n v="2.76"/>
        <n v="0.5899948344370861"/>
        <n v="0.37"/>
        <n v="0.715855031120332"/>
        <n v="1.9265395711500977"/>
        <n v="0.6700024791121615"/>
        <n v="0.59"/>
        <n v="0.4747936988304094"/>
        <n v="1.9390679802955662"/>
        <n v="0.3699985"/>
        <n v="0.89"/>
        <n v="0.6700031830914184"/>
        <n v="0.674398056948424"/>
        <n v="0.5599934532733634"/>
        <n v="0.5599946759259258"/>
        <n v="0.67"/>
        <n v="1.0328029700344736"/>
        <n v="0.5599919872813991"/>
        <n v="2.7472521467603435"/>
        <n v="0.5599977815699659"/>
        <n v="2.98"/>
        <n v="1.9504000000000001"/>
        <n v="0.5599997037037038"/>
        <n v="0.6428794131132508"/>
      </sharedItems>
    </cacheField>
    <cacheField name="Preço Acordo Vigente" numFmtId="0">
      <sharedItems containsString="0" containsBlank="1" containsNumber="1">
        <m/>
        <n v="1.17"/>
        <n v="0.64"/>
        <n v="0.74"/>
        <n v="2.3"/>
        <n v="0.58"/>
        <n v="1.22"/>
        <n v="3.57"/>
        <n v="0.39"/>
        <n v="195.04"/>
        <n v="0.37"/>
      </sharedItems>
    </cacheField>
    <cacheField name="Spend acordo" numFmtId="164">
      <sharedItems containsSemiMixedTypes="0" containsString="0" containsNumber="1">
        <n v="0.0"/>
        <n v="1168947.0"/>
        <n v="1170880.0"/>
        <n v="1168217.28"/>
        <n v="792579.9999999999"/>
        <n v="889777.9999999999"/>
        <n v="696440.0"/>
        <n v="783118.0"/>
        <n v="725067.0"/>
        <n v="525435.0"/>
        <n v="464278.5"/>
        <n v="483200.0"/>
        <n v="447993.0"/>
        <n v="370176.0"/>
        <n v="381097.5"/>
        <n v="4.0022208E7"/>
        <n v="420876.48"/>
        <n v="386368.0"/>
        <n v="266760.0"/>
        <n v="318432.2"/>
        <n v="3.1674496E7"/>
        <n v="337856.0"/>
        <n v="337280.0"/>
        <n v="312000.0"/>
        <n v="192256.0"/>
        <n v="278974.08"/>
        <n v="235620.0"/>
        <n v="264458.24"/>
        <n v="161728.0"/>
        <n v="232115.99999999997"/>
        <n v="225503.99999999997"/>
        <n v="229672.32"/>
        <n v="204594.0"/>
        <n v="215397.0"/>
        <n v="203000.0"/>
        <n v="203346.0"/>
        <n v="133945.92"/>
        <n v="182410.0"/>
        <n v="78141.0"/>
        <n v="187403.52"/>
        <n v="169940.0"/>
        <n v="159655.0"/>
        <n v="189210.0"/>
        <n v="131100.0"/>
        <n v="1.521312E7"/>
        <n v="156600.0"/>
        <n v="85059.0"/>
      </sharedItems>
    </cacheField>
    <cacheField name="Fornecedor Contrato vigente" numFmtId="0">
      <sharedItems containsBlank="1">
        <m/>
        <s v=" BECTON DICKINSON INDUSTRIAS CIRURGI"/>
        <s v=" SARSTEDT LTDA"/>
      </sharedItems>
    </cacheField>
    <cacheField name="Preço médio&#10;4T25 e 3T25" numFmtId="165">
      <sharedItems containsSemiMixedTypes="0" containsString="0" containsNumber="1">
        <n v="18.12843866171004"/>
        <n v="1.169"/>
        <n v="0.6280344806957802"/>
        <n v="0.7702578840709202"/>
        <n v="2.863049189491336"/>
        <n v="0.5612108382726503"/>
        <n v="1.3888301368043565"/>
        <n v="4.0070957514267596"/>
        <n v="0.38626284006723527"/>
        <n v="1.9595321387723985"/>
        <n v="0.6061713249835201"/>
        <n v="0.5769671107130863"/>
        <n v="0.42289342904472665"/>
      </sharedItems>
    </cacheField>
    <cacheField name="Spend ano Atual Peers" numFmtId="164">
      <sharedItems containsSemiMixedTypes="0" containsString="0" containsNumber="1">
        <n v="1426472.452973978"/>
        <n v="1167947.9000000001"/>
        <n v="1148989.08243293"/>
        <n v="1215984.5543620076"/>
        <n v="986606.7506987144"/>
        <n v="860953.5469940729"/>
        <n v="866931.2945779766"/>
        <n v="891490.0648147165"/>
        <n v="813841.1471147749"/>
        <n v="654063.5873392958"/>
        <n v="521122.8024730501"/>
        <n v="474166.03292531404"/>
        <n v="443700.12438523315"/>
        <n v="363255.1436344393"/>
        <n v="427757.4714648066"/>
        <n v="402095.9948760962"/>
        <n v="438085.712081104"/>
        <n v="379144.4159960425"/>
        <n v="264203.7826059889"/>
        <n v="362498.5540073051"/>
        <n v="318228.0193366375"/>
        <n v="331539.40235930233"/>
        <n v="330974.17132667615"/>
        <n v="309010.27205378824"/>
        <n v="188661.55800101237"/>
        <n v="290381.06023166433"/>
        <n v="264468.3195941661"/>
        <n v="275271.6815777292"/>
        <n v="158704.31327182366"/>
        <n v="242589.76425840476"/>
        <n v="235679.4111535926"/>
        <n v="239063.39896332336"/>
        <n v="232906.81394209058"/>
        <n v="213332.96656913403"/>
        <n v="201938.4887495802"/>
        <n v="201397.44481105646"/>
        <n v="139422.8390799091"/>
        <n v="190640.88170731708"/>
        <n v="88954.57026231903"/>
        <n v="195066.2686251924"/>
        <n v="177608.19822017138"/>
        <n v="182478.51463279955"/>
        <n v="212376.07482561827"/>
        <n v="163193.80380100617"/>
        <n v="152843.50682424707"/>
        <n v="163666.25774555042"/>
        <n v="84243.92541866402"/>
      </sharedItems>
    </cacheField>
    <cacheField name="Spend mensal" numFmtId="164">
      <sharedItems containsSemiMixedTypes="0" containsString="0" containsNumber="1">
        <n v="118872.70441449816"/>
        <n v="97328.99166666668"/>
        <n v="95749.09020274416"/>
        <n v="101332.04619683397"/>
        <n v="82217.22922489287"/>
        <n v="71746.12891617273"/>
        <n v="72244.27454816471"/>
        <n v="74290.8387345597"/>
        <n v="67820.09559289791"/>
        <n v="54505.298944941314"/>
        <n v="43426.90020608751"/>
        <n v="39513.8360771095"/>
        <n v="36975.010365436094"/>
        <n v="30271.261969536605"/>
        <n v="35646.45595540055"/>
        <n v="33507.99957300802"/>
        <n v="36507.14267342533"/>
        <n v="31595.36799967021"/>
        <n v="22016.98188383241"/>
        <n v="30208.212833942092"/>
        <n v="26519.00161138646"/>
        <n v="27628.283529941862"/>
        <n v="27581.180943889678"/>
        <n v="25750.856004482353"/>
        <n v="15721.796500084363"/>
        <n v="24198.42168597203"/>
        <n v="22039.026632847177"/>
        <n v="22939.306798144098"/>
        <n v="13225.359439318638"/>
        <n v="20215.813688200396"/>
        <n v="19639.95092946605"/>
        <n v="19921.94991361028"/>
        <n v="19408.90116184088"/>
        <n v="17777.747214094503"/>
        <n v="16828.20739579835"/>
        <n v="16783.120400921372"/>
        <n v="11618.56992332576"/>
        <n v="15886.740142276423"/>
        <n v="7412.8808551932525"/>
        <n v="16255.5223854327"/>
        <n v="14800.683185014283"/>
        <n v="15206.542886066629"/>
        <n v="17698.00623546819"/>
        <n v="13599.483650083848"/>
        <n v="12736.95890202059"/>
        <n v="13638.854812129202"/>
        <n v="7020.327118222001"/>
      </sharedItems>
    </cacheField>
    <cacheField name="∆R$" numFmtId="164">
      <sharedItems containsSemiMixedTypes="0" containsString="0" containsNumber="1">
        <n v="19458.362973978044"/>
        <n v="1.1900000001769513"/>
        <n v="69594.35243292991"/>
        <n v="158248.92436200776"/>
        <n v="35528.63069871429"/>
        <n v="1857.5469940727344"/>
        <n v="32306.774577976554"/>
        <n v="108372.06481471646"/>
        <n v="52216.14711477491"/>
        <n v="23541.587339295773"/>
        <n v="33435.30247305008"/>
        <n v="28719.932925314002"/>
        <n v="18681.124385233154"/>
        <n v="-50795.406365560775"/>
        <n v="27444.971464806586"/>
        <n v="6770.074876096158"/>
        <n v="57020.462081103935"/>
        <n v="22961.415996042488"/>
        <n v="-60555.10739401111"/>
        <n v="44066.35400730511"/>
        <n v="3323.379336637561"/>
        <n v="20078.40235930233"/>
        <n v="20044.17132667615"/>
        <n v="13011.472053788253"/>
        <n v="-78694.44199898763"/>
        <n v="37795.22023166434"/>
        <n v="16968.319594166125"/>
        <n v="34258.001577729185"/>
        <n v="-66198.68672817634"/>
        <n v="18480.384258404752"/>
        <n v="17953.48115359267"/>
        <n v="31116.83896332333"/>
        <n v="28312.81394209058"/>
        <n v="8981.966569134034"/>
        <n v="5938.488749580167"/>
        <n v="8479.444811056455"/>
        <n v="-47522.76092009089"/>
        <n v="14523.401707317069"/>
        <n v="-87006.92973768097"/>
        <n v="25390.1086251924"/>
        <n v="13528.848220171378"/>
        <n v="22823.514632799546"/>
        <n v="54436.07482561827"/>
        <n v="5873.803801006172"/>
        <n v="712.3068242470617"/>
        <n v="12466.337745550409"/>
        <n v="-55968.07458133598"/>
      </sharedItems>
    </cacheField>
    <cacheField name="∆%" numFmtId="9">
      <sharedItems containsSemiMixedTypes="0" containsString="0" containsNumber="1">
        <n v="0.013829543792257294"/>
        <n v="1.018882103085809E-6"/>
        <n v="0.06447534947009599"/>
        <n v="0.14961103689208974"/>
        <n v="0.03735616449541945"/>
        <n v="0.002162211201161144"/>
        <n v="0.03870815415053532"/>
        <n v="0.13838535803635782"/>
        <n v="0.06855886704713594"/>
        <n v="0.03733666285917981"/>
        <n v="0.06855886704713587"/>
        <n v="0.06447454119659819"/>
        <n v="0.04395362180333857"/>
        <n v="-0.12267923896142818"/>
        <n v="0.06855886704713589"/>
        <n v="0.0171252997427949"/>
        <n v="0.1496343791020145"/>
        <n v="0.06446522151827147"/>
        <n v="-0.18646173902740926"/>
        <n v="0.13838535803635785"/>
        <n v="0.0105536054871645"/>
        <n v="0.0644652215182714"/>
        <n v="0.06446522151827148"/>
        <n v="0.04395785406490923"/>
        <n v="-0.2943432801171009"/>
        <n v="0.14963317116931155"/>
        <n v="0.06855886704713586"/>
        <n v="0.1421413157034455"/>
        <n v="-0.29434328011710087"/>
        <n v="0.08246144921914804"/>
        <n v="0.08245908584977764"/>
        <n v="0.1496386329416718"/>
        <n v="0.13838535803635776"/>
        <n v="0.04395362180333854"/>
        <n v="0.030298411987653907"/>
        <n v="0.04395362180333849"/>
        <n v="-0.2542063622791384"/>
        <n v="0.08246428297359847"/>
        <n v="-0.494465719703918"/>
        <n v="0.14963863294167193"/>
        <n v="0.08245308273205237"/>
        <n v="0.14295521363439634"/>
        <n v="0.3446630038344832"/>
        <n v="0.03733666285917984"/>
        <n v="0.00468218763966275"/>
        <n v="0.0824493673379616"/>
        <n v="-0.3991675076408295"/>
      </sharedItems>
    </cacheField>
    <cacheField name="preço médio&#10;4t25 e 3t252" numFmtId="165">
      <sharedItems containsSemiMixedTypes="0" containsString="0" containsNumber="1">
        <n v="18.08452671175896"/>
        <n v="1.168982551626084"/>
        <n v="0.6375582085103213"/>
        <n v="0.7946273243714965"/>
        <n v="2.863337992253067"/>
        <n v="0.560865628066732"/>
        <n v="1.508974319267002"/>
        <n v="4.091477108518662"/>
        <n v="0.3972651227954509"/>
        <n v="1.9506406754709864"/>
        <n v="0.623169200968523"/>
        <n v="0.5599806179775281"/>
        <n v="0.4511722191880575"/>
      </sharedItems>
    </cacheField>
    <cacheField name="Spend ano consumo" numFmtId="164">
      <sharedItems containsSemiMixedTypes="0" containsString="0" containsNumber="1">
        <n v="1423017.1533681774"/>
        <n v="1167930.4673296206"/>
        <n v="1166412.7424696328"/>
        <n v="1254455.9074201991"/>
        <n v="986706.2721304068"/>
        <n v="860423.9600171736"/>
        <n v="867018.7440542286"/>
        <n v="968610.6155374886"/>
        <n v="830979.0007401402"/>
        <n v="654129.5643302131"/>
        <n v="532096.597962852"/>
        <n v="481356.4474252926"/>
        <n v="456338.44655513443"/>
        <n v="368763.66780236986"/>
        <n v="436765.18133436714"/>
        <n v="400271.4666066464"/>
        <n v="451945.87999093736"/>
        <n v="384893.89047768095"/>
        <n v="271729.3439920884"/>
        <n v="393857.38707188016"/>
        <n v="316784.0456964882"/>
        <n v="336566.9782725986"/>
        <n v="335993.1758849393"/>
        <n v="317812.0982363607"/>
        <n v="191522.4858365005"/>
        <n v="299568.14426945924"/>
        <n v="270037.4891622317"/>
        <n v="283980.73467458796"/>
        <n v="161110.95929055818"/>
        <n v="249392.3142276029"/>
        <n v="242288.18533656176"/>
        <n v="246626.89341053262"/>
        <n v="253054.99334107625"/>
        <n v="219409.52731992753"/>
        <n v="195993.21629213484"/>
        <n v="207134.0350255481"/>
        <n v="143833.90272983586"/>
        <n v="195986.7137046005"/>
        <n v="96649.80514905148"/>
        <n v="201237.78064243274"/>
        <n v="182588.57588377723"/>
        <n v="194680.81257964682"/>
        <n v="216848.28675148907"/>
        <n v="163210.2655584248"/>
        <n v="152149.97268673693"/>
        <n v="168255.6842615012"/>
        <n v="86643.52328168784"/>
      </sharedItems>
    </cacheField>
    <cacheField name="spend mensal2" numFmtId="164">
      <sharedItems containsSemiMixedTypes="0" containsString="0" containsNumber="1">
        <n v="118584.76278068144"/>
        <n v="97327.53894413506"/>
        <n v="97201.06187246939"/>
        <n v="104537.99228501659"/>
        <n v="82225.5226775339"/>
        <n v="71701.9966680978"/>
        <n v="72251.56200451906"/>
        <n v="80717.55129479071"/>
        <n v="69248.25006167835"/>
        <n v="54510.79702751776"/>
        <n v="44341.383163571"/>
        <n v="40113.037285441045"/>
        <n v="38028.203879594534"/>
        <n v="30730.30565019749"/>
        <n v="36397.098444530595"/>
        <n v="33355.95555055387"/>
        <n v="37662.15666591145"/>
        <n v="32074.49087314008"/>
        <n v="22644.1119993407"/>
        <n v="32821.44892265668"/>
        <n v="26398.67047470735"/>
        <n v="28047.248189383216"/>
        <n v="27999.431323744942"/>
        <n v="26484.341519696725"/>
        <n v="15960.207153041709"/>
        <n v="24964.012022454936"/>
        <n v="22503.12409685264"/>
        <n v="23665.06122288233"/>
        <n v="13425.913274213182"/>
        <n v="20782.692852300243"/>
        <n v="20190.682111380145"/>
        <n v="20552.241117544385"/>
        <n v="21087.916111756353"/>
        <n v="18284.127276660627"/>
        <n v="16332.76802434457"/>
        <n v="17261.169585462343"/>
        <n v="11986.158560819655"/>
        <n v="16332.226142050042"/>
        <n v="8054.150429087623"/>
        <n v="16769.815053536062"/>
        <n v="15215.714656981436"/>
        <n v="16223.401048303902"/>
        <n v="18070.690562624088"/>
        <n v="13600.855463202068"/>
        <n v="12679.164390561411"/>
        <n v="14021.307021791768"/>
        <n v="7220.29360680732"/>
      </sharedItems>
    </cacheField>
    <cacheField name="∆r$2" numFmtId="164">
      <sharedItems containsSemiMixedTypes="0" containsString="0" containsNumber="1">
        <n v="16003.063368177507"/>
        <n v="-16.242670379346237"/>
        <n v="87018.01246963278"/>
        <n v="196720.27742019924"/>
        <n v="35628.1521304067"/>
        <n v="1327.9600171734346"/>
        <n v="32394.22405422863"/>
        <n v="185492.6155374886"/>
        <n v="69354.00074014021"/>
        <n v="23607.56433021312"/>
        <n v="44409.097962851985"/>
        <n v="35910.34742529254"/>
        <n v="31319.446555134433"/>
        <n v="-45286.882197630184"/>
        <n v="36452.68133436714"/>
        <n v="4945.546606646385"/>
        <n v="70880.6299909373"/>
        <n v="28710.89047768095"/>
        <n v="-53029.54600791162"/>
        <n v="75425.18707188015"/>
        <n v="1879.4056964882184"/>
        <n v="25105.978272598586"/>
        <n v="25063.175884939323"/>
        <n v="21813.298236360715"/>
        <n v="-75833.5141634995"/>
        <n v="46982.304269459244"/>
        <n v="22537.48916223168"/>
        <n v="42967.05467458797"/>
        <n v="-63792.04070944182"/>
        <n v="25282.934227602906"/>
        <n v="24562.255336561822"/>
        <n v="38680.33341053259"/>
        <n v="48460.993341076246"/>
        <n v="15058.527319927525"/>
        <n v="-6.783707865193719"/>
        <n v="14216.035025548103"/>
        <n v="-43111.69727016415"/>
        <n v="19869.233704600483"/>
        <n v="-79311.69485094852"/>
        <n v="31561.62064243274"/>
        <n v="18509.225883777224"/>
        <n v="35025.81257964682"/>
        <n v="58908.28675148907"/>
        <n v="5890.265558424813"/>
        <n v="18.77268673692015"/>
        <n v="17055.7642615012"/>
        <n v="-53568.47671831216"/>
      </sharedItems>
    </cacheField>
    <cacheField name="∆%2" numFmtId="9">
      <sharedItems containsSemiMixedTypes="0" containsString="0" containsNumber="1">
        <n v="0.01137377619877105"/>
        <n v="-1.3907030380989075E-5"/>
        <n v="0.08061741460386117"/>
        <n v="0.18598246276359176"/>
        <n v="0.037460805144383616"/>
        <n v="0.0015457644048784238"/>
        <n v="0.03881293117799682"/>
        <n v="0.23686419612049348"/>
        <n v="0.09106056227164315"/>
        <n v="0.03744130154096625"/>
        <n v="0.09106056227164318"/>
        <n v="0.08061659407343007"/>
        <n v="0.07368952106878618"/>
        <n v="-0.10937524946562728"/>
        <n v="0.09106056227164312"/>
        <n v="0.012510048940495438"/>
        <n v="0.18600654347500145"/>
        <n v="0.08060713306834114"/>
        <n v="-0.1632889741922434"/>
        <n v="0.2368641961204933"/>
        <n v="0.005968174036712253"/>
        <n v="0.0806071330683411"/>
        <n v="0.08060713306834118"/>
        <n v="0.07369387388178843"/>
        <n v="-0.28364246234795365"/>
        <n v="0.18600529732569032"/>
        <n v="0.17827641432879648"/>
        <n v="0.11281515404488159"/>
        <n v="0.11281272440339021"/>
        <n v="0.18601093189775578"/>
        <n v="0.2368641961204935"/>
        <n v="-3.4610754414253665E-5"/>
        <n v="0.07368952106878623"/>
        <n v="-0.23061092248314027"/>
        <n v="0.11281806726169646"/>
        <n v="-0.4507332277285004"/>
        <n v="0.18601093189775592"/>
        <n v="0.11280655295000391"/>
        <n v="0.21938437618393927"/>
        <n v="0.37297889547606095"/>
        <n v="0.03744130154096627"/>
        <n v="1.2339800604294285E-4"/>
        <n v="0.11280273337116316"/>
        <n v="-0.38205343849536527"/>
      </sharedItems>
    </cacheField>
    <cacheField name="Premissa deflatora" numFmtId="166">
      <sharedItems containsSemiMixedTypes="0" containsString="0" containsNumber="1">
        <n v="0.12"/>
      </sharedItems>
    </cacheField>
    <cacheField name="Preço projetado" numFmtId="165">
      <sharedItems containsSemiMixedTypes="0" containsString="0" containsNumber="1">
        <n v="15.953026022304835"/>
        <n v="1.02872"/>
        <n v="0.5526703430122866"/>
        <n v="0.6778269379824098"/>
        <n v="2.5194832867523758"/>
        <n v="0.49386553767993224"/>
        <n v="1.2221705203878337"/>
        <n v="3.5262442612555485"/>
        <n v="0.339911299259167"/>
        <n v="1.7243882821197107"/>
        <n v="0.5334307659854977"/>
        <n v="0.5077310574275159"/>
        <n v="0.37214621755935945"/>
      </sharedItems>
    </cacheField>
    <cacheField name="Spend projetado&#10;ano" numFmtId="165">
      <sharedItems containsSemiMixedTypes="0" containsString="0" containsNumber="1">
        <n v="1255295.7586171005"/>
        <n v="1027794.1520000001"/>
        <n v="1011110.3925409783"/>
        <n v="1070066.407838567"/>
        <n v="868213.9406148687"/>
        <n v="757639.121354784"/>
        <n v="762899.5392286194"/>
        <n v="784511.2570369504"/>
        <n v="716180.2094610019"/>
        <n v="575575.9568585802"/>
        <n v="458588.0661762841"/>
        <n v="417266.10897427634"/>
        <n v="390456.1094590052"/>
        <n v="319664.52639830654"/>
        <n v="376426.5748890298"/>
        <n v="353844.47549096466"/>
        <n v="385515.42663137155"/>
        <n v="333647.0860765174"/>
        <n v="232499.32869327025"/>
        <n v="318998.72752642847"/>
        <n v="280040.65701624105"/>
        <n v="291754.6740761861"/>
        <n v="291257.270767475"/>
        <n v="271929.0394073336"/>
        <n v="166022.17104089088"/>
        <n v="255535.33300386462"/>
        <n v="232732.1212428662"/>
        <n v="242239.07978840166"/>
        <n v="139659.7956792048"/>
        <n v="213478.99254739616"/>
        <n v="207397.8818151615"/>
        <n v="210375.79108772456"/>
        <n v="204957.99626903972"/>
        <n v="187733.01058083796"/>
        <n v="177705.87009963056"/>
        <n v="177229.7514337297"/>
        <n v="122692.09839032002"/>
        <n v="167763.975902439"/>
        <n v="78280.02183084075"/>
        <n v="171658.31639016932"/>
        <n v="156295.2144337508"/>
        <n v="160581.0928768636"/>
        <n v="186890.94584654405"/>
        <n v="143610.54734488542"/>
        <n v="134502.28600533743"/>
        <n v="144026.30681608437"/>
        <n v="74134.65436842432"/>
      </sharedItems>
    </cacheField>
    <cacheField name="∆R$ projetado compras" numFmtId="165">
      <sharedItems containsSemiMixedTypes="0" containsString="0" containsNumber="1">
        <n v="-171176.69435687736"/>
        <n v="-140153.74800000002"/>
        <n v="-137878.68989195162"/>
        <n v="-145918.14652344072"/>
        <n v="-118392.81008384575"/>
        <n v="-103314.42563928885"/>
        <n v="-104031.75534935715"/>
        <n v="-106978.80777776602"/>
        <n v="-97660.937653773"/>
        <n v="-78487.63048071554"/>
        <n v="-62534.73629676597"/>
        <n v="-56899.923951037694"/>
        <n v="-53244.014926227974"/>
        <n v="-43590.61723613273"/>
        <n v="-51330.8965757768"/>
        <n v="-48251.51938513154"/>
        <n v="-52570.285449732444"/>
        <n v="-45497.32991952507"/>
        <n v="-31704.453912718658"/>
        <n v="-43499.826480876654"/>
        <n v="-38187.36232039647"/>
        <n v="-39784.728283116245"/>
        <n v="-39716.90055920114"/>
        <n v="-37081.23264645465"/>
        <n v="-22639.386960121483"/>
        <n v="-34845.72722779971"/>
        <n v="-31736.198351299914"/>
        <n v="-33032.60178932751"/>
        <n v="-19044.517592618853"/>
        <n v="-29110.771711008594"/>
        <n v="-28281.529338431108"/>
        <n v="-28687.6078755988"/>
        <n v="-27948.817673050857"/>
        <n v="-25599.955988296075"/>
        <n v="-24232.61864994964"/>
        <n v="-24167.693377326766"/>
        <n v="-16730.74068958909"/>
        <n v="-22876.90580487807"/>
        <n v="-10674.54843147828"/>
        <n v="-23407.952235023084"/>
        <n v="-21312.983786420577"/>
        <n v="-21897.42175593594"/>
        <n v="-25485.128979074216"/>
        <n v="-19583.256456120755"/>
        <n v="-18341.220818909642"/>
        <n v="-19639.950929466053"/>
        <n v="-10109.271050239695"/>
      </sharedItems>
    </cacheField>
    <cacheField name="∆% ano compras" numFmtId="166">
      <sharedItems containsSemiMixedTypes="0" containsString="0" containsNumber="1">
        <n v="-0.12000000000000001"/>
        <n v="-0.12000000000000004"/>
        <n v="-0.11999999999999984"/>
        <n v="-0.12000000000000002"/>
        <n v="-0.12000000000000012"/>
        <n v="-0.11999999999999995"/>
        <n v="-0.12000000000000005"/>
        <n v="-0.12000000000000006"/>
        <n v="-0.11999999999999993"/>
        <n v="-0.12"/>
        <n v="-0.1200000000000001"/>
        <n v="-0.11999999999999988"/>
        <n v="-0.1199999999999999"/>
        <n v="-0.12000000000000019"/>
        <n v="-0.11999999999999997"/>
        <n v="-0.12000000000000009"/>
        <n v="-0.11999999999999998"/>
        <n v="-0.11999999999999994"/>
        <n v="-0.12000000000000008"/>
        <n v="-0.12000000000000015"/>
      </sharedItems>
    </cacheField>
    <cacheField name="∆R$ projetado consumo" numFmtId="165">
      <sharedItems containsSemiMixedTypes="0" containsString="0" containsNumber="1">
        <n v="-167721.39475107682"/>
        <n v="-140136.3153296205"/>
        <n v="-155302.3499286545"/>
        <n v="-184389.4995816322"/>
        <n v="-118492.33151553816"/>
        <n v="-102784.83866238955"/>
        <n v="-104119.20482560922"/>
        <n v="-184099.35850053816"/>
        <n v="-114798.7912791383"/>
        <n v="-78553.60747163289"/>
        <n v="-73508.53178656788"/>
        <n v="-64090.33845101623"/>
        <n v="-65882.33709612925"/>
        <n v="-49099.141404063324"/>
        <n v="-60338.606445337355"/>
        <n v="-46426.99111568177"/>
        <n v="-66430.45335956581"/>
        <n v="-51246.804401163536"/>
        <n v="-39230.01529881815"/>
        <n v="-74858.6595454517"/>
        <n v="-36743.388680247124"/>
        <n v="-44812.3041964125"/>
        <n v="-44735.90511746431"/>
        <n v="-45883.05882902711"/>
        <n v="-25500.31479560962"/>
        <n v="-44032.81126559462"/>
        <n v="-37305.36791936547"/>
        <n v="-41741.6548861863"/>
        <n v="-21451.163611353375"/>
        <n v="-35913.32168020675"/>
        <n v="-34890.30352140026"/>
        <n v="-36251.10232280806"/>
        <n v="-48096.99707203652"/>
        <n v="-31676.516739089566"/>
        <n v="-18287.34619250428"/>
        <n v="-29904.283591818414"/>
        <n v="-21141.80433951583"/>
        <n v="-28222.737802161486"/>
        <n v="-18369.783318210728"/>
        <n v="-29579.464252263424"/>
        <n v="-26293.361450026423"/>
        <n v="-34099.719702783215"/>
        <n v="-29957.340904945013"/>
        <n v="-19599.718213539396"/>
        <n v="-17647.6866813995"/>
        <n v="-24229.377445416845"/>
        <n v="-12508.868913263519"/>
      </sharedItems>
    </cacheField>
    <cacheField name="∆% ano consumo" numFmtId="9">
      <sharedItems containsSemiMixedTypes="0" containsString="0" containsNumber="1">
        <n v="-0.11786322768779882"/>
        <n v="-0.11998686501434537"/>
        <n v="-0.1331452789171649"/>
        <n v="-0.1469876290517305"/>
        <n v="-0.12008875879515821"/>
        <n v="-0.11945836406082651"/>
        <n v="-0.12008875879515815"/>
        <n v="-0.19006539423314103"/>
        <n v="-0.13814884753632617"/>
        <n v="-0.13314527891716496"/>
        <n v="-0.14437165571621283"/>
        <n v="-0.13314527891716502"/>
        <n v="-0.1381488475363262"/>
        <n v="-0.11598876010141977"/>
        <n v="-0.14698762905173052"/>
        <n v="-0.13314527891716488"/>
        <n v="-0.19006539423314095"/>
        <n v="-0.11598876010141965"/>
        <n v="-0.13314527891716485"/>
        <n v="-0.14437165571621294"/>
        <n v="-0.14698762905173068"/>
        <n v="-0.13814884753632614"/>
        <n v="-0.1469876290517307"/>
        <n v="-0.13314527891716493"/>
        <n v="-0.14400332180017053"/>
        <n v="-0.14698762905173055"/>
        <n v="-0.19006539423314098"/>
        <n v="-0.1443716557162128"/>
        <n v="-0.0933060160880586"/>
        <n v="-0.14437165571621288"/>
        <n v="-0.1440033218001706"/>
        <n v="-0.1440033218001705"/>
        <n v="-0.1751570647920555"/>
        <n v="-0.13814884753632622"/>
        <n v="-0.12008875879515822"/>
        <n v="-0.14437165571621297"/>
      </sharedItems>
    </cacheField>
    <cacheField name="STATUS" numFmtId="0">
      <sharedItems>
        <s v="NÃO INICIADO"/>
        <s v="FINALIZADO"/>
      </sharedItems>
    </cacheField>
    <cacheField name="cronograma" numFmtId="0">
      <sharedItems containsString="0" containsBlank="1">
        <m/>
      </sharedItems>
    </cacheField>
    <cacheField name="Fornecedor_final" numFmtId="0">
      <sharedItems>
        <s v=""/>
        <s v="BD COLETA"/>
        <s v="SARSTEDT"/>
      </sharedItems>
    </cacheField>
    <cacheField name="Preço unit" numFmtId="165">
      <sharedItems containsSemiMixedTypes="0" containsString="0" containsNumber="1">
        <n v="0.0"/>
        <n v="1.169"/>
        <n v="0.64"/>
        <n v="0.74"/>
        <n v="2.12"/>
        <n v="0.58"/>
        <n v="1.22"/>
        <n v="3.39"/>
        <n v="0.39"/>
        <n v="1.95"/>
        <n v="0.37"/>
      </sharedItems>
    </cacheField>
    <cacheField name="Spend Cotado FINAL" numFmtId="164">
      <sharedItems containsSemiMixedTypes="0" containsString="0" containsNumber="1">
        <n v="0.0"/>
        <n v="1167947.9000000001"/>
        <n v="1170880.0"/>
        <n v="1168217.28"/>
        <n v="730552.0"/>
        <n v="889777.9999999999"/>
        <n v="641936.0"/>
        <n v="783118.0"/>
        <n v="688509.0"/>
        <n v="484314.0"/>
        <n v="440869.5"/>
        <n v="483200.0"/>
        <n v="447993.0"/>
        <n v="370176.0"/>
        <n v="361882.5"/>
        <n v="400140.0"/>
        <n v="420876.48"/>
        <n v="386368.0"/>
        <n v="266760.0"/>
        <n v="318432.2"/>
        <n v="316680.0"/>
        <n v="337856.0"/>
        <n v="337280.0"/>
        <n v="312000.0"/>
        <n v="192256.0"/>
        <n v="278974.08"/>
        <n v="223740.0"/>
        <n v="264458.24"/>
        <n v="161728.0"/>
        <n v="232115.99999999997"/>
        <n v="225503.99999999997"/>
        <n v="229672.32"/>
        <n v="204594.0"/>
        <n v="215397.0"/>
        <n v="203000.0"/>
        <n v="203346.0"/>
        <n v="133945.92"/>
        <n v="182410.0"/>
        <n v="78141.0"/>
        <n v="187403.52"/>
        <n v="169940.0"/>
        <n v="159655.0"/>
        <n v="179670.0"/>
        <n v="120840.0"/>
        <n v="152100.0"/>
        <n v="156600.0"/>
        <n v="85059.0"/>
      </sharedItems>
    </cacheField>
    <cacheField name="∆R$ Cotado" numFmtId="164">
      <sharedItems containsSemiMixedTypes="0" containsString="0" containsNumber="1">
        <n v="0.0"/>
        <n v="17.432670379523188"/>
        <n v="4467.257530367235"/>
        <n v="-86238.6274201991"/>
        <n v="-256154.2721304068"/>
        <n v="29354.039982826333"/>
        <n v="-225082.74405422865"/>
        <n v="-185492.6155374886"/>
        <n v="-142470.0007401402"/>
        <n v="-169815.56433021312"/>
        <n v="-91227.09796285199"/>
        <n v="1843.552574707428"/>
        <n v="-8345.446555134433"/>
        <n v="1412.3321976301377"/>
        <n v="-74882.68133436714"/>
        <n v="-131.46660664642695"/>
        <n v="-31069.39999093738"/>
        <n v="1474.1095223190496"/>
        <n v="-4969.3439920883975"/>
        <n v="-75425.18707188015"/>
        <n v="-104.04569648817414"/>
        <n v="1289.021727401414"/>
        <n v="1286.8241150606773"/>
        <n v="-5812.098236360704"/>
        <n v="733.5141634994943"/>
        <n v="-20594.064269459224"/>
        <n v="-46297.48916223168"/>
        <n v="-19522.49467458797"/>
        <n v="617.0407094418188"/>
        <n v="-17276.31422760294"/>
        <n v="-16784.185336561786"/>
        <n v="-16954.573410532612"/>
        <n v="-48460.993341076246"/>
        <n v="-4012.5273199275252"/>
        <n v="7006.783707865165"/>
        <n v="-3788.0350255481026"/>
        <n v="-9887.982729835843"/>
        <n v="-13576.713704600494"/>
        <n v="-18508.805149051477"/>
        <n v="-13834.260642432753"/>
        <n v="-12648.57588377723"/>
        <n v="-35025.81257964682"/>
        <n v="-37178.28675148907"/>
        <n v="-42370.26555842481"/>
        <n v="-49.97268673693179"/>
        <n v="-11655.684261501214"/>
        <n v="-1584.5232816878415"/>
      </sharedItems>
    </cacheField>
    <cacheField name="∆%  Cotado">
      <sharedItems containsMixedTypes="1" containsNumber="1">
        <s v=""/>
        <n v="1.4926120062080058E-5"/>
        <n v="0.003829911460765389"/>
        <n v="-0.06874584185071095"/>
        <n v="-0.2596053956131663"/>
        <n v="0.03411578634123629"/>
        <n v="-0.25960539561316637"/>
        <n v="-0.19150380200464506"/>
        <n v="-0.17144837668971705"/>
        <n v="-0.17144837668971707"/>
        <n v="0.003829911460765363"/>
        <n v="-0.018287844511313038"/>
        <n v="0.0038299114607652823"/>
        <n v="-0.17144837668971702"/>
        <n v="-3.284436129333731E-4"/>
        <n v="-0.06874584185071098"/>
        <n v="0.003829911460765391"/>
        <n v="-0.018287844511313007"/>
        <n v="-0.19150380200464495"/>
        <n v="-3.2844361293327465E-4"/>
        <n v="0.0038299114607654276"/>
        <n v="0.0038299114607653504"/>
        <n v="-0.01828784451131302"/>
        <n v="0.0038299114607654107"/>
        <n v="-0.068745841850711"/>
        <n v="-0.06874584185071109"/>
        <n v="0.0038299114607654137"/>
        <n v="-0.06927364334025168"/>
        <n v="-0.06927364334025173"/>
        <n v="-0.0687458418507109"/>
        <n v="-0.1915038020046451"/>
        <n v="-0.01828784451131304"/>
        <n v="0.035750133807801315"/>
        <n v="-0.018287844511313087"/>
        <n v="-0.06874584185071099"/>
        <n v="-0.06927364334025159"/>
        <n v="-0.19150380200464504"/>
        <n v="-0.0692736433402515"/>
        <n v="-0.17991404553706206"/>
        <n v="-3.284436129332803E-4"/>
        <n v="-0.06927364334025157"/>
        <n v="-0.018287844511313073"/>
      </sharedItems>
    </cacheField>
    <cacheField name="FIRSTLAB" numFmtId="0">
      <sharedItems containsString="0" containsBlank="1">
        <m/>
      </sharedItems>
    </cacheField>
    <cacheField name="MARCA" numFmtId="0">
      <sharedItems containsString="0" containsBlank="1">
        <m/>
      </sharedItems>
    </cacheField>
    <cacheField name="BD MICRO." numFmtId="0">
      <sharedItems containsString="0" containsBlank="1">
        <m/>
      </sharedItems>
    </cacheField>
    <cacheField name="BD COLETA" numFmtId="0">
      <sharedItems containsString="0" containsBlank="1" containsNumber="1">
        <m/>
        <n v="1.169"/>
        <n v="0.64"/>
        <n v="0.74"/>
        <n v="2.12"/>
        <n v="0.58"/>
        <n v="1.22"/>
        <n v="3.39"/>
        <n v="0.39"/>
        <n v="0.37"/>
      </sharedItems>
    </cacheField>
    <cacheField name="CRAL" numFmtId="0">
      <sharedItems containsString="0" containsBlank="1" containsNumber="1">
        <m/>
        <n v="2.3"/>
      </sharedItems>
    </cacheField>
    <cacheField name="BMX MICRO." numFmtId="0">
      <sharedItems containsString="0" containsBlank="1">
        <m/>
      </sharedItems>
    </cacheField>
    <cacheField name="marca2" numFmtId="0">
      <sharedItems containsString="0" containsBlank="1">
        <m/>
      </sharedItems>
    </cacheField>
    <cacheField name="SARSTEDT" numFmtId="0">
      <sharedItems containsString="0" containsBlank="1" containsNumber="1">
        <m/>
        <n v="1.95"/>
      </sharedItems>
    </cacheField>
    <cacheField name="marca3" numFmtId="0">
      <sharedItems containsBlank="1">
        <m/>
        <s v=" SARSTEDT"/>
      </sharedItems>
    </cacheField>
    <cacheField name="POLAR FIX" numFmtId="0">
      <sharedItems containsString="0" containsBlank="1">
        <m/>
      </sharedItems>
    </cacheField>
    <cacheField name="marca4" numFmtId="0">
      <sharedItems containsString="0" containsBlank="1">
        <m/>
      </sharedItems>
    </cacheField>
    <cacheField name="MAFRA" numFmtId="0">
      <sharedItems containsString="0" containsBlank="1">
        <m/>
      </sharedItems>
    </cacheField>
    <cacheField name="marca5" numFmtId="0">
      <sharedItems containsString="0" containsBlank="1">
        <m/>
      </sharedItems>
    </cacheField>
    <cacheField name="TERA MEDICAL" numFmtId="0">
      <sharedItems containsString="0" containsBlank="1">
        <m/>
      </sharedItems>
    </cacheField>
    <cacheField name="marca6" numFmtId="0">
      <sharedItems containsString="0" containsBlank="1">
        <m/>
      </sharedItems>
    </cacheField>
    <cacheField name="PLASTLABOR / LABORCLIN" numFmtId="0">
      <sharedItems containsString="0" containsBlank="1">
        <m/>
      </sharedItems>
    </cacheField>
    <cacheField name="marca7" numFmtId="0">
      <sharedItems containsString="0" containsBlank="1">
        <m/>
      </sharedItems>
    </cacheField>
    <cacheField name="SENSORIAL" numFmtId="0">
      <sharedItems containsString="0" containsBlank="1">
        <m/>
      </sharedItems>
    </cacheField>
    <cacheField name="marca8" numFmtId="0">
      <sharedItems containsString="0" containsBlank="1">
        <m/>
      </sharedItems>
    </cacheField>
    <cacheField name="SOL-MILLENIUM" numFmtId="0">
      <sharedItems containsString="0" containsBlank="1" containsNumber="1">
        <m/>
        <n v="3.68"/>
        <n v="0.385"/>
      </sharedItems>
    </cacheField>
    <cacheField name="NEW PROV" numFmtId="0">
      <sharedItems containsString="0" containsBlank="1">
        <m/>
      </sharedItems>
    </cacheField>
    <cacheField name="marca9" numFmtId="0">
      <sharedItems containsString="0" containsBlank="1">
        <m/>
      </sharedItems>
    </cacheField>
    <cacheField name="DNEDX(TESTE)" numFmtId="0">
      <sharedItems containsString="0" containsBlank="1">
        <m/>
      </sharedItems>
    </cacheField>
    <cacheField name="DIPROMED" numFmtId="0">
      <sharedItems containsString="0" containsBlank="1">
        <m/>
      </sharedItems>
    </cacheField>
    <cacheField name="marca10" numFmtId="0">
      <sharedItems containsString="0" containsBlank="1">
        <m/>
      </sharedItems>
    </cacheField>
    <cacheField name="DK Diag." numFmtId="0">
      <sharedItems containsString="0" containsBlank="1">
        <m/>
      </sharedItems>
    </cacheField>
    <cacheField name="DOBBER" numFmtId="0">
      <sharedItems containsString="0" containsBlank="1">
        <m/>
      </sharedItems>
    </cacheField>
    <cacheField name="marca11" numFmtId="0">
      <sharedItems containsString="0" containsBlank="1">
        <m/>
      </sharedItems>
    </cacheField>
    <cacheField name="ADVAGEN" numFmtId="0">
      <sharedItems containsString="0" containsBlank="1">
        <m/>
      </sharedItems>
    </cacheField>
    <cacheField name="marca12" numFmtId="0">
      <sharedItems containsString="0" containsBlank="1">
        <m/>
      </sharedItems>
    </cacheField>
    <cacheField name="ONMNIA" numFmtId="0">
      <sharedItems containsString="0" containsBlank="1">
        <m/>
      </sharedItems>
    </cacheField>
    <cacheField name="BIO-RAD" numFmtId="0">
      <sharedItems containsString="0" containsBlank="1">
        <m/>
      </sharedItems>
    </cacheField>
    <cacheField name="INJEX" numFmtId="0">
      <sharedItems containsString="0" containsBlank="1" containsNumber="1">
        <m/>
        <n v="0.469"/>
      </sharedItems>
    </cacheField>
    <cacheField name="ABBOT TESTE RAPIDO" numFmtId="0">
      <sharedItems containsString="0" containsBlank="1">
        <m/>
      </sharedItems>
    </cacheField>
    <cacheField name="MEDLEVERSOHN" numFmtId="0">
      <sharedItems containsString="0" containsBlank="1">
        <m/>
      </sharedItems>
    </cacheField>
    <cacheField name="GLOBAL TESTES" numFmtId="0">
      <sharedItems containsString="0" containsBlank="1">
        <m/>
      </sharedItems>
    </cacheField>
    <cacheField name="MASTER HIGIMED" numFmtId="0">
      <sharedItems containsString="0" containsBlank="1" containsNumber="1">
        <m/>
        <n v="1.1543999999999999"/>
        <n v="10.54"/>
        <n v="3.2076"/>
        <n v="1.30832"/>
        <n v="3.63528"/>
        <n v="1.02425"/>
      </sharedItems>
    </cacheField>
    <cacheField name="marca13" numFmtId="0">
      <sharedItems containsBlank="1">
        <m/>
        <s v=" LABOR IMPORT"/>
        <s v=" BD"/>
        <s v=" FIRST LAB"/>
      </sharedItems>
    </cacheField>
    <cacheField name="PROBAC" numFmtId="0">
      <sharedItems containsString="0" containsBlank="1">
        <m/>
      </sharedItems>
    </cacheField>
    <cacheField name="marca14" numFmtId="0">
      <sharedItems containsString="0" containsBlank="1">
        <m/>
      </sharedItems>
    </cacheField>
    <cacheField name="LABTECH" numFmtId="0">
      <sharedItems containsString="0" containsBlank="1">
        <m/>
      </sharedItems>
    </cacheField>
    <cacheField name="MARCA " numFmtId="0">
      <sharedItems containsString="0" containsBlank="1">
        <m/>
      </sharedItems>
    </cacheField>
    <cacheField name="ADVAGEM" numFmtId="0">
      <sharedItems containsString="0" containsBlank="1">
        <m/>
      </sharedItems>
    </cacheField>
    <cacheField name="marca15" numFmtId="0">
      <sharedItems containsString="0" containsBlank="1">
        <m/>
      </sharedItems>
    </cacheField>
    <cacheField name="AGAR LAB" numFmtId="0">
      <sharedItems containsString="0" containsBlank="1">
        <m/>
      </sharedItems>
    </cacheField>
    <cacheField name="MOBIUS" numFmtId="0">
      <sharedItems containsString="0" containsBlank="1">
        <m/>
      </sharedItems>
    </cacheField>
    <cacheField name="GREINER" numFmtId="0">
      <sharedItems containsString="0" containsBlank="1" containsNumber="1">
        <m/>
        <n v="0.5006"/>
      </sharedItems>
    </cacheField>
    <cacheField name="WERFEN" numFmtId="0">
      <sharedItems containsString="0" containsBlank="1">
        <m/>
      </sharedItems>
    </cacheField>
    <cacheField name="B" numFmtId="0">
      <sharedItems containsString="0" containsBlank="1">
        <m/>
      </sharedItems>
    </cacheField>
    <cacheField name="b2" numFmtId="0">
      <sharedItems containsString="0" containsBlank="1">
        <m/>
      </sharedItems>
    </cacheField>
    <cacheField name="b3" numFmtId="0">
      <sharedItems containsString="0" containsBlank="1">
        <m/>
      </sharedItems>
    </cacheField>
    <cacheField name="b4" numFmtId="0">
      <sharedItems containsString="0" containsBlank="1">
        <m/>
      </sharedItems>
    </cacheField>
    <cacheField name="b5" numFmtId="0">
      <sharedItems containsString="0" containsBlank="1">
        <m/>
      </sharedItems>
    </cacheField>
    <cacheField name="b6" numFmtId="0">
      <sharedItems containsString="0" containsBlank="1">
        <m/>
      </sharedItems>
    </cacheField>
    <cacheField name="b7" numFmtId="0">
      <sharedItems containsString="0" containsBlank="1">
        <m/>
      </sharedItems>
    </cacheField>
    <cacheField name="b8" numFmtId="0">
      <sharedItems containsString="0" containsBlank="1">
        <m/>
      </sharedItems>
    </cacheField>
    <cacheField name="b9" numFmtId="0">
      <sharedItems containsString="0" containsBlank="1">
        <m/>
      </sharedItems>
    </cacheField>
    <cacheField name="b10" numFmtId="0">
      <sharedItems containsString="0" containsBlank="1">
        <m/>
      </sharedItems>
    </cacheField>
    <cacheField name="b11" numFmtId="0">
      <sharedItems containsString="0" containsBlank="1">
        <m/>
      </sharedItems>
    </cacheField>
    <cacheField name="b12" numFmtId="0">
      <sharedItems containsString="0" containsBlank="1">
        <m/>
      </sharedItems>
    </cacheField>
    <cacheField name="b13" numFmtId="0">
      <sharedItems containsString="0" containsBlank="1">
        <m/>
      </sharedItems>
    </cacheField>
    <cacheField name="b14" numFmtId="0">
      <sharedItems containsString="0" containsBlank="1">
        <m/>
      </sharedItems>
    </cacheField>
    <cacheField name="b15" numFmtId="0">
      <sharedItems containsString="0" containsBlank="1">
        <m/>
      </sharedItems>
    </cacheField>
    <cacheField name="b16" numFmtId="0">
      <sharedItems containsString="0" containsBlank="1">
        <m/>
      </sharedItems>
    </cacheField>
    <cacheField name="b17" numFmtId="0">
      <sharedItems containsString="0" containsBlank="1">
        <m/>
      </sharedItems>
    </cacheField>
    <cacheField name="b18" numFmtId="0">
      <sharedItems containsString="0" containsBlank="1">
        <m/>
      </sharedItems>
    </cacheField>
    <cacheField name="b19" numFmtId="0">
      <sharedItems containsString="0" containsBlank="1">
        <m/>
      </sharedItems>
    </cacheField>
    <cacheField name="b20" numFmtId="0">
      <sharedItems containsString="0" containsBlank="1">
        <m/>
      </sharedItems>
    </cacheField>
    <cacheField name="b21" numFmtId="0">
      <sharedItems containsString="0" containsBlank="1">
        <m/>
      </sharedItems>
    </cacheField>
    <cacheField name="C" numFmtId="0">
      <sharedItems containsString="0" containsBlank="1">
        <m/>
      </sharedItems>
    </cacheField>
    <cacheField name="c2" numFmtId="0">
      <sharedItems containsString="0" containsBlank="1">
        <m/>
      </sharedItems>
    </cacheField>
    <cacheField name="c3" numFmtId="0">
      <sharedItems containsString="0" containsBlank="1">
        <m/>
      </sharedItems>
    </cacheField>
    <cacheField name="c4" numFmtId="0">
      <sharedItems containsString="0" containsBlank="1">
        <m/>
      </sharedItems>
    </cacheField>
    <cacheField name="c5" numFmtId="0">
      <sharedItems containsString="0" containsBlank="1">
        <m/>
      </sharedItems>
    </cacheField>
    <cacheField name="c6" numFmtId="0">
      <sharedItems containsString="0" containsBlank="1">
        <m/>
      </sharedItems>
    </cacheField>
    <cacheField name="c7" numFmtId="0">
      <sharedItems containsString="0" containsBlank="1">
        <m/>
      </sharedItems>
    </cacheField>
    <cacheField name="c8" numFmtId="0">
      <sharedItems containsString="0" containsBlank="1">
        <m/>
      </sharedItems>
    </cacheField>
    <cacheField name="c9" numFmtId="0">
      <sharedItems containsString="0" containsBlank="1">
        <m/>
      </sharedItems>
    </cacheField>
    <cacheField name="c10" numFmtId="0">
      <sharedItems containsString="0" containsBlank="1">
        <m/>
      </sharedItems>
    </cacheField>
    <cacheField name="c11" numFmtId="0">
      <sharedItems containsString="0" containsBlank="1">
        <m/>
      </sharedItems>
    </cacheField>
    <cacheField name="c12" numFmtId="0">
      <sharedItems containsString="0" containsBlank="1">
        <m/>
      </sharedItems>
    </cacheField>
    <cacheField name="c13" numFmtId="0">
      <sharedItems containsString="0" containsBlank="1">
        <m/>
      </sharedItems>
    </cacheField>
    <cacheField name="c14" numFmtId="0">
      <sharedItems containsString="0" containsBlank="1">
        <m/>
      </sharedItems>
    </cacheField>
    <cacheField name="c15" numFmtId="0">
      <sharedItems containsString="0" containsBlank="1">
        <m/>
      </sharedItems>
    </cacheField>
    <cacheField name="c16" numFmtId="0">
      <sharedItems containsString="0" containsBlank="1">
        <m/>
      </sharedItems>
    </cacheField>
    <cacheField name="c17" numFmtId="0">
      <sharedItems containsString="0" containsBlank="1">
        <m/>
      </sharedItems>
    </cacheField>
    <cacheField name="c18" numFmtId="0">
      <sharedItems containsString="0" containsBlank="1">
        <m/>
      </sharedItems>
    </cacheField>
    <cacheField name="c19" numFmtId="0">
      <sharedItems containsString="0" containsBlank="1">
        <m/>
      </sharedItems>
    </cacheField>
    <cacheField name="c20" numFmtId="0">
      <sharedItems containsString="0" containsBlank="1">
        <m/>
      </sharedItems>
    </cacheField>
    <cacheField name="c21" numFmtId="0">
      <sharedItems containsString="0" containsBlank="1">
        <m/>
      </sharedItems>
    </cacheField>
    <cacheField name="c22" numFmtId="0">
      <sharedItems containsString="0" containsBlank="1">
        <m/>
      </sharedItems>
    </cacheField>
    <cacheField name="c23" numFmtId="0">
      <sharedItems containsString="0" containsBlank="1">
        <m/>
      </sharedItems>
    </cacheField>
    <cacheField name="c24" numFmtId="0">
      <sharedItems containsString="0" containsBlank="1">
        <m/>
      </sharedItems>
    </cacheField>
    <cacheField name="c25" numFmtId="0">
      <sharedItems containsString="0" containsBlank="1">
        <m/>
      </sharedItems>
    </cacheField>
    <cacheField name="c26" numFmtId="0">
      <sharedItems containsString="0" containsBlank="1">
        <m/>
      </sharedItems>
    </cacheField>
    <cacheField name="c27" numFmtId="0">
      <sharedItems containsString="0" containsBlank="1">
        <m/>
      </sharedItems>
    </cacheField>
    <cacheField name="c28" numFmtId="0">
      <sharedItems containsString="0" containsBlank="1">
        <m/>
      </sharedItems>
    </cacheField>
    <cacheField name="c29" numFmtId="0">
      <sharedItems containsString="0" containsBlank="1">
        <m/>
      </sharedItems>
    </cacheField>
    <cacheField name="c30" numFmtId="0">
      <sharedItems containsString="0" containsBlank="1">
        <m/>
      </sharedItems>
    </cacheField>
    <cacheField name="c31" numFmtId="0">
      <sharedItems containsString="0" containsBlank="1">
        <m/>
      </sharedItems>
    </cacheField>
    <cacheField name="c32" numFmtId="0">
      <sharedItems containsString="0" containsBlank="1">
        <m/>
      </sharedItems>
    </cacheField>
    <cacheField name="c33" numFmtId="0">
      <sharedItems containsString="0" containsBlank="1">
        <m/>
      </sharedItems>
    </cacheField>
    <cacheField name="c34" numFmtId="0">
      <sharedItems containsString="0" containsBlank="1">
        <m/>
      </sharedItems>
    </cacheField>
    <cacheField name="c35" numFmtId="0">
      <sharedItems containsString="0" containsBlank="1">
        <m/>
      </sharedItems>
    </cacheField>
    <cacheField name="c36" numFmtId="0">
      <sharedItems containsString="0" containsBlank="1">
        <m/>
      </sharedItems>
    </cacheField>
    <cacheField name="c37" numFmtId="0">
      <sharedItems containsString="0" containsBlank="1">
        <m/>
      </sharedItems>
    </cacheField>
    <cacheField name="c38" numFmtId="0">
      <sharedItems containsString="0" containsBlank="1">
        <m/>
      </sharedItems>
    </cacheField>
    <cacheField name="c39" numFmtId="0">
      <sharedItems containsString="0" containsBlank="1">
        <m/>
      </sharedItems>
    </cacheField>
    <cacheField name="c40" numFmtId="0">
      <sharedItems containsString="0" containsBlank="1">
        <m/>
      </sharedItems>
    </cacheField>
    <cacheField name="c41" numFmtId="0">
      <sharedItems containsString="0" containsBlank="1">
        <m/>
      </sharedItems>
    </cacheField>
    <cacheField name="c42" numFmtId="0">
      <sharedItems containsString="0" containsBlank="1">
        <m/>
      </sharedItems>
    </cacheField>
    <cacheField name="c43" numFmtId="0">
      <sharedItems containsString="0" containsBlank="1">
        <m/>
      </sharedItems>
    </cacheField>
    <cacheField name="c44" numFmtId="0">
      <sharedItems containsString="0" containsBlank="1">
        <m/>
      </sharedItems>
    </cacheField>
    <cacheField name="c45" numFmtId="0">
      <sharedItems containsString="0" containsBlank="1">
        <m/>
      </sharedItems>
    </cacheField>
    <cacheField name="c46" numFmtId="0">
      <sharedItems containsString="0" containsBlank="1">
        <m/>
      </sharedItems>
    </cacheField>
    <cacheField name="c47" numFmtId="0">
      <sharedItems containsString="0" containsBlank="1">
        <m/>
      </sharedItems>
    </cacheField>
    <cacheField name="c48" numFmtId="0">
      <sharedItems containsString="0" containsBlank="1">
        <m/>
      </sharedItems>
    </cacheField>
    <cacheField name="c49" numFmtId="0">
      <sharedItems containsString="0" containsBlank="1">
        <m/>
      </sharedItems>
    </cacheField>
    <cacheField name="c50" numFmtId="0">
      <sharedItems containsString="0" containsBlank="1">
        <m/>
      </sharedItems>
    </cacheField>
    <cacheField name="c51" numFmtId="0">
      <sharedItems containsString="0" containsBlank="1">
        <m/>
      </sharedItems>
    </cacheField>
    <cacheField name="c52" numFmtId="0">
      <sharedItems containsString="0" containsBlank="1">
        <m/>
      </sharedItems>
    </cacheField>
    <cacheField name="c53" numFmtId="0">
      <sharedItems containsString="0" containsBlank="1">
        <m/>
      </sharedItems>
    </cacheField>
    <cacheField name="c54" numFmtId="0">
      <sharedItems containsString="0" containsBlank="1">
        <m/>
      </sharedItems>
    </cacheField>
    <cacheField name="c55" numFmtId="0">
      <sharedItems containsString="0" containsBlank="1">
        <m/>
      </sharedItems>
    </cacheField>
    <cacheField name="c56" numFmtId="0">
      <sharedItems containsString="0" containsBlank="1">
        <m/>
      </sharedItems>
    </cacheField>
    <cacheField name="c57" numFmtId="0">
      <sharedItems containsString="0" containsBlank="1">
        <m/>
      </sharedItems>
    </cacheField>
    <cacheField name="c58" numFmtId="0">
      <sharedItems containsString="0" containsBlank="1">
        <m/>
      </sharedItems>
    </cacheField>
    <cacheField name="c59" numFmtId="0">
      <sharedItems containsString="0" containsBlank="1">
        <m/>
      </sharedItems>
    </cacheField>
    <cacheField name="c60" numFmtId="0">
      <sharedItems containsString="0" containsBlank="1">
        <m/>
      </sharedItems>
    </cacheField>
    <cacheField name="JAN" numFmtId="165">
      <sharedItems>
        <e v="#REF!"/>
      </sharedItems>
    </cacheField>
    <cacheField name="FEV" numFmtId="165">
      <sharedItems>
        <e v="#REF!"/>
      </sharedItems>
    </cacheField>
    <cacheField name="MAR" numFmtId="165">
      <sharedItems>
        <e v="#REF!"/>
      </sharedItems>
    </cacheField>
    <cacheField name="ABR" numFmtId="165">
      <sharedItems>
        <e v="#REF!"/>
      </sharedItems>
    </cacheField>
    <cacheField name="MAI" numFmtId="165">
      <sharedItems>
        <e v="#REF!"/>
      </sharedItems>
    </cacheField>
    <cacheField name="JUN" numFmtId="165">
      <sharedItems>
        <e v="#REF!"/>
      </sharedItems>
    </cacheField>
    <cacheField name="JUL" numFmtId="165">
      <sharedItems>
        <e v="#REF!"/>
      </sharedItems>
    </cacheField>
    <cacheField name="AGO" numFmtId="165">
      <sharedItems>
        <e v="#REF!"/>
      </sharedItems>
    </cacheField>
    <cacheField name="SET" numFmtId="165">
      <sharedItems>
        <e v="#REF!"/>
      </sharedItems>
    </cacheField>
    <cacheField name="OUT" numFmtId="165">
      <sharedItems>
        <e v="#REF!"/>
      </sharedItems>
    </cacheField>
    <cacheField name="NOV" numFmtId="165">
      <sharedItems>
        <e v="#REF!"/>
      </sharedItems>
    </cacheField>
    <cacheField name="DEZ" numFmtId="165">
      <sharedItems>
        <e v="#REF!"/>
      </sharedItems>
    </cacheField>
    <cacheField name="TOTAL 2026" numFmtId="165">
      <sharedItems>
        <e v="#REF!"/>
      </sharedItems>
    </cacheField>
    <cacheField name="CARRY-OVER 2027" numFmtId="165">
      <sharedItems>
        <e v="#REF!"/>
      </sharedItems>
    </cacheField>
    <cacheField name="Inicio Captação" numFmtId="0">
      <sharedItems containsBlank="1">
        <m/>
        <s v=" JUN"/>
        <s v=" MAI"/>
      </sharedItems>
    </cacheField>
    <cacheField name="jan2" numFmtId="165">
      <sharedItems containsSemiMixedTypes="0" containsString="0" containsNumber="1" containsInteger="1">
        <n v="0.0"/>
      </sharedItems>
    </cacheField>
    <cacheField name="fev2" numFmtId="165">
      <sharedItems containsSemiMixedTypes="0" containsString="0" containsNumber="1" containsInteger="1">
        <n v="0.0"/>
      </sharedItems>
    </cacheField>
    <cacheField name="mar2" numFmtId="165">
      <sharedItems containsSemiMixedTypes="0" containsString="0" containsNumber="1" containsInteger="1">
        <n v="0.0"/>
      </sharedItems>
    </cacheField>
    <cacheField name="abr2" numFmtId="165">
      <sharedItems containsSemiMixedTypes="0" containsString="0" containsNumber="1" containsInteger="1">
        <n v="0.0"/>
      </sharedItems>
    </cacheField>
    <cacheField name="mai2" numFmtId="165">
      <sharedItems containsSemiMixedTypes="0" containsString="0" containsNumber="1">
        <n v="0.0"/>
        <n v="-10.955550553868912"/>
        <n v="-8.670474707347845"/>
        <n v="-4.164390561410983"/>
      </sharedItems>
    </cacheField>
    <cacheField name="jun2" numFmtId="165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jul2" numFmtId="165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ago2" numFmtId="165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set2" numFmtId="165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out2" numFmtId="165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nov2" numFmtId="165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dez2" numFmtId="165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 TOTAL 2026" numFmtId="165">
      <sharedItems containsSemiMixedTypes="0" containsString="0" containsNumber="1">
        <n v="0.0"/>
        <n v="10.169057721388526"/>
        <n v="2605.9002260475536"/>
        <n v="-50305.865995116146"/>
        <n v="-149423.32540940397"/>
        <n v="17123.189989982027"/>
        <n v="-131298.2673649667"/>
        <n v="-108204.02573020168"/>
        <n v="-83107.50043174846"/>
        <n v="-99059.07919262433"/>
        <n v="-53215.807144996994"/>
        <n v="1075.405668579333"/>
        <n v="-4868.177157161753"/>
        <n v="823.8604486175803"/>
        <n v="-43681.564111714164"/>
        <n v="-87.64440443095131"/>
        <n v="-18123.816661380137"/>
        <n v="859.897221352779"/>
        <n v="-2898.7839953848984"/>
        <n v="-43998.025791930086"/>
        <n v="-69.36379765878276"/>
        <n v="751.9293409841581"/>
        <n v="750.6474004520618"/>
        <n v="-3390.390637877077"/>
        <n v="427.88326204137167"/>
        <n v="-12013.204157184548"/>
        <n v="-27006.86867796848"/>
        <n v="-11388.12189350965"/>
        <n v="359.94041384106094"/>
        <n v="-10077.849966101714"/>
        <n v="-9790.774779661042"/>
        <n v="-9890.16782281069"/>
        <n v="-28268.912782294476"/>
        <n v="-2340.6409366243897"/>
        <n v="4087.29049625468"/>
        <n v="-2209.6870982363935"/>
        <n v="-5767.9899257375755"/>
        <n v="-7919.749661016955"/>
        <n v="-10796.803003613362"/>
        <n v="-8069.985374752439"/>
        <n v="-7378.335932203383"/>
        <n v="-20431.72400479398"/>
        <n v="-21687.33393836862"/>
        <n v="-24715.988242414474"/>
        <n v="-33.31512449128786"/>
        <n v="-6799.149152542374"/>
        <n v="-924.3052476512407"/>
      </sharedItems>
    </cacheField>
    <cacheField name=" CARRY-OVER 2027">
      <sharedItems containsMixedTypes="1" containsNumber="1">
        <s v=" "/>
        <n v="7.263612658134662"/>
        <n v="1861.3573043196811"/>
        <n v="-35932.76142508296"/>
        <n v="-106730.94672100284"/>
        <n v="12230.849992844305"/>
        <n v="-93784.47668926194"/>
        <n v="-77288.58980728692"/>
        <n v="-59362.500308391755"/>
        <n v="-70756.4851375888"/>
        <n v="-38011.29081785499"/>
        <n v="768.146906128095"/>
        <n v="-3477.26939797268"/>
        <n v="588.4717490125573"/>
        <n v="-31201.117222652974"/>
        <n v="-43.82220221547564"/>
        <n v="-12945.583329557245"/>
        <n v="614.2123009662706"/>
        <n v="-2070.559996703499"/>
        <n v="-31427.161279950065"/>
        <n v="-34.681898829391386"/>
        <n v="537.0923864172559"/>
        <n v="536.1767146086155"/>
        <n v="-2421.7075984836265"/>
        <n v="305.63090145812265"/>
        <n v="-8580.860112274677"/>
        <n v="-19290.6204842632"/>
        <n v="-8134.372781078322"/>
        <n v="257.1002956007578"/>
        <n v="-7198.464261501225"/>
        <n v="-6993.410556900744"/>
        <n v="-7064.405587721922"/>
        <n v="-20192.08055878177"/>
        <n v="-1671.8863833031355"/>
        <n v="2919.4932116104847"/>
        <n v="-1578.347927311709"/>
        <n v="-4119.992804098268"/>
        <n v="-5656.964043583539"/>
        <n v="-7712.002145438115"/>
        <n v="-5764.275267680314"/>
        <n v="-5270.239951573847"/>
        <n v="-14594.088574852842"/>
        <n v="-15490.952813120446"/>
        <n v="-17654.27731601034"/>
        <n v="-16.65756224564393"/>
        <n v="-4856.535108958839"/>
        <n v="-660.2180340366008"/>
      </sharedItems>
    </cacheField>
    <cacheField name="FAROL" numFmtId="165">
      <sharedItems>
        <s v=" "/>
        <e v="#REF!"/>
      </sharedItems>
    </cacheField>
    <cacheField name=" ∆R$&#10;consumo" numFmtId="164">
      <sharedItems containsSemiMixedTypes="0" containsString="0" containsNumber="1">
        <n v="0.0"/>
        <n v="17.432670379523188"/>
        <n v="4467.257530367235"/>
        <n v="-86238.6274201991"/>
        <n v="-256154.2721304068"/>
        <n v="29354.039982826333"/>
        <n v="-225082.74405422865"/>
        <n v="-185492.6155374886"/>
        <n v="-142470.0007401402"/>
        <n v="-169815.56433021312"/>
        <n v="-91227.09796285199"/>
        <n v="1843.552574707428"/>
        <n v="-8345.446555134433"/>
        <n v="1412.3321976301377"/>
        <n v="-74882.68133436714"/>
        <n v="-131.46660664642695"/>
        <n v="-31069.39999093738"/>
        <n v="1474.1095223190496"/>
        <n v="-4969.3439920883975"/>
        <n v="-75425.18707188015"/>
        <n v="-104.04569648817414"/>
        <n v="1289.021727401414"/>
        <n v="1286.8241150606773"/>
        <n v="-5812.098236360704"/>
        <n v="733.5141634994943"/>
        <n v="-20594.064269459224"/>
        <n v="-46297.48916223168"/>
        <n v="-19522.49467458797"/>
        <n v="617.0407094418188"/>
        <n v="-17276.31422760294"/>
        <n v="-16784.185336561786"/>
        <n v="-16954.573410532612"/>
        <n v="-48460.993341076246"/>
        <n v="-4012.5273199275252"/>
        <n v="7006.783707865165"/>
        <n v="-3788.0350255481026"/>
        <n v="-9887.982729835843"/>
        <n v="-13576.713704600494"/>
        <n v="-18508.805149051477"/>
        <n v="-13834.260642432753"/>
        <n v="-12648.57588377723"/>
        <n v="-35025.81257964682"/>
        <n v="-37178.28675148907"/>
        <n v="-42370.26555842481"/>
        <n v="-49.97268673693179"/>
        <n v="-11655.684261501214"/>
        <n v="-1584.5232816878415"/>
      </sharedItems>
    </cacheField>
    <cacheField name="∆%&#10;ano">
      <sharedItems containsMixedTypes="1" containsNumber="1">
        <s v=""/>
        <n v="1.4926120062080058E-5"/>
        <n v="0.003829911460765389"/>
        <n v="-0.06874584185071095"/>
        <n v="-0.2596053956131663"/>
        <n v="0.03411578634123629"/>
        <n v="-0.25960539561316637"/>
        <n v="-0.19150380200464506"/>
        <n v="-0.17144837668971705"/>
        <n v="-0.17144837668971707"/>
        <n v="0.003829911460765363"/>
        <n v="-0.018287844511313038"/>
        <n v="0.0038299114607652823"/>
        <n v="-0.17144837668971702"/>
        <n v="-3.284436129333731E-4"/>
        <n v="-0.06874584185071098"/>
        <n v="0.003829911460765391"/>
        <n v="-0.018287844511313007"/>
        <n v="-0.19150380200464495"/>
        <n v="-3.2844361293327465E-4"/>
        <n v="0.0038299114607654276"/>
        <n v="0.0038299114607653504"/>
        <n v="-0.01828784451131302"/>
        <n v="0.0038299114607654107"/>
        <n v="-0.068745841850711"/>
        <n v="-0.06874584185071109"/>
        <n v="0.0038299114607654137"/>
        <n v="-0.06927364334025168"/>
        <n v="-0.06927364334025173"/>
        <n v="-0.0687458418507109"/>
        <n v="-0.1915038020046451"/>
        <n v="-0.01828784451131304"/>
        <n v="0.035750133807801315"/>
        <n v="-0.018287844511313087"/>
        <n v="-0.06874584185071099"/>
        <n v="-0.06927364334025159"/>
        <n v="-0.19150380200464504"/>
        <n v="-0.0692736433402515"/>
        <n v="-0.17991404553706206"/>
        <n v="-3.284436129332803E-4"/>
        <n v="-0.06927364334025157"/>
        <n v="-0.018287844511313073"/>
      </sharedItems>
    </cacheField>
    <cacheField name="INICIO CAPTAÇÃO" numFmtId="0">
      <sharedItems containsBlank="1">
        <m/>
        <s v=" JUN"/>
        <s v=" MAI"/>
      </sharedItems>
    </cacheField>
    <cacheField name=" JAN" numFmtId="165">
      <sharedItems containsSemiMixedTypes="0" containsString="0" containsNumber="1" containsInteger="1">
        <n v="0.0"/>
      </sharedItems>
    </cacheField>
    <cacheField name="fev3" numFmtId="165">
      <sharedItems containsSemiMixedTypes="0" containsString="0" containsNumber="1" containsInteger="1">
        <n v="0.0"/>
      </sharedItems>
    </cacheField>
    <cacheField name="mar3" numFmtId="165">
      <sharedItems containsSemiMixedTypes="0" containsString="0" containsNumber="1" containsInteger="1">
        <n v="0.0"/>
      </sharedItems>
    </cacheField>
    <cacheField name=" ABR" numFmtId="164">
      <sharedItems containsSemiMixedTypes="0" containsString="0" containsNumber="1" containsInteger="1">
        <n v="0.0"/>
      </sharedItems>
    </cacheField>
    <cacheField name=" MAI" numFmtId="164">
      <sharedItems containsSemiMixedTypes="0" containsString="0" containsNumber="1">
        <n v="0.0"/>
        <n v="-10.955550553868912"/>
        <n v="-8.670474707347845"/>
        <n v="-4.164390561410983"/>
      </sharedItems>
    </cacheField>
    <cacheField name=" JUN" numFmtId="164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 JUL" numFmtId="164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 AGO" numFmtId="164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 SET" numFmtId="164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 OUT" numFmtId="164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 NOV" numFmtId="164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 DEZ" numFmtId="164">
      <sharedItems containsSemiMixedTypes="0" containsString="0" containsNumber="1">
        <n v="0.0"/>
        <n v="1.4527225316269323"/>
        <n v="372.2714608639362"/>
        <n v="-7186.552285016592"/>
        <n v="-21346.189344200568"/>
        <n v="2446.169998568861"/>
        <n v="-18756.895337852387"/>
        <n v="-15457.717961457383"/>
        <n v="-11872.50006167835"/>
        <n v="-14151.29702751776"/>
        <n v="-7602.2581635709985"/>
        <n v="153.629381225619"/>
        <n v="-695.453879594536"/>
        <n v="117.69434980251147"/>
        <n v="-6240.223444530595"/>
        <n v="-10.955550553868912"/>
        <n v="-2589.1166659114483"/>
        <n v="122.84246019325413"/>
        <n v="-414.1119993406998"/>
        <n v="-6285.432255990013"/>
        <n v="-8.670474707347845"/>
        <n v="107.41847728345117"/>
        <n v="107.2353429217231"/>
        <n v="-484.3415196967253"/>
        <n v="61.12618029162453"/>
        <n v="-1716.1720224549354"/>
        <n v="-3858.12409685264"/>
        <n v="-1626.8745562156644"/>
        <n v="51.42005912015156"/>
        <n v="-1439.692852300245"/>
        <n v="-1398.6821113801489"/>
        <n v="-1412.8811175443843"/>
        <n v="-4038.416111756354"/>
        <n v="-334.3772766606271"/>
        <n v="583.8986423220971"/>
        <n v="-315.6695854623419"/>
        <n v="-823.9985608196536"/>
        <n v="-1131.3928087167078"/>
        <n v="-1542.400429087623"/>
        <n v="-1152.8550535360628"/>
        <n v="-1054.047990314769"/>
        <n v="-2918.8177149705684"/>
        <n v="-3098.190562624089"/>
        <n v="-3530.8554632020678"/>
        <n v="-4.164390561410983"/>
        <n v="-971.3070217917679"/>
        <n v="-132.04360680732012"/>
      </sharedItems>
    </cacheField>
    <cacheField name=" total 20262" numFmtId="164">
      <sharedItems containsSemiMixedTypes="0" containsString="0" containsNumber="1">
        <n v="0.0"/>
        <n v="10.169057721388526"/>
        <n v="2605.9002260475536"/>
        <n v="-50305.865995116146"/>
        <n v="-149423.32540940397"/>
        <n v="17123.189989982027"/>
        <n v="-131298.2673649667"/>
        <n v="-108204.02573020168"/>
        <n v="-83107.50043174846"/>
        <n v="-99059.07919262433"/>
        <n v="-53215.807144996994"/>
        <n v="1075.405668579333"/>
        <n v="-4868.177157161753"/>
        <n v="823.8604486175803"/>
        <n v="-43681.564111714164"/>
        <n v="-87.64440443095131"/>
        <n v="-18123.816661380137"/>
        <n v="859.897221352779"/>
        <n v="-2898.7839953848984"/>
        <n v="-43998.025791930086"/>
        <n v="-69.36379765878276"/>
        <n v="751.9293409841581"/>
        <n v="750.6474004520618"/>
        <n v="-3390.390637877077"/>
        <n v="427.88326204137167"/>
        <n v="-12013.204157184548"/>
        <n v="-27006.86867796848"/>
        <n v="-11388.12189350965"/>
        <n v="359.94041384106094"/>
        <n v="-10077.849966101714"/>
        <n v="-9790.774779661042"/>
        <n v="-9890.16782281069"/>
        <n v="-28268.912782294476"/>
        <n v="-2340.6409366243897"/>
        <n v="4087.29049625468"/>
        <n v="-2209.6870982363935"/>
        <n v="-5767.9899257375755"/>
        <n v="-7919.749661016955"/>
        <n v="-10796.803003613362"/>
        <n v="-8069.985374752439"/>
        <n v="-7378.335932203383"/>
        <n v="-20431.72400479398"/>
        <n v="-21687.33393836862"/>
        <n v="-24715.988242414474"/>
        <n v="-33.31512449128786"/>
        <n v="-6799.149152542374"/>
        <n v="-924.3052476512407"/>
      </sharedItems>
    </cacheField>
    <cacheField name=" carry-over 20272">
      <sharedItems containsMixedTypes="1" containsNumber="1">
        <s v=" "/>
        <n v="7.263612658134662"/>
        <n v="1861.3573043196811"/>
        <n v="-35932.76142508296"/>
        <n v="-106730.94672100284"/>
        <n v="12230.849992844305"/>
        <n v="-93784.47668926194"/>
        <n v="-77288.58980728692"/>
        <n v="-59362.500308391755"/>
        <n v="-70756.4851375888"/>
        <n v="-38011.29081785499"/>
        <n v="768.146906128095"/>
        <n v="-3477.26939797268"/>
        <n v="588.4717490125573"/>
        <n v="-31201.117222652974"/>
        <n v="-43.82220221547564"/>
        <n v="-12945.583329557245"/>
        <n v="614.2123009662706"/>
        <n v="-2070.559996703499"/>
        <n v="-31427.161279950065"/>
        <n v="-34.681898829391386"/>
        <n v="537.0923864172559"/>
        <n v="536.1767146086155"/>
        <n v="-2421.7075984836265"/>
        <n v="305.63090145812265"/>
        <n v="-8580.860112274677"/>
        <n v="-19290.6204842632"/>
        <n v="-8134.372781078322"/>
        <n v="257.1002956007578"/>
        <n v="-7198.464261501225"/>
        <n v="-6993.410556900744"/>
        <n v="-7064.405587721922"/>
        <n v="-20192.08055878177"/>
        <n v="-1671.8863833031355"/>
        <n v="2919.4932116104847"/>
        <n v="-1578.347927311709"/>
        <n v="-4119.992804098268"/>
        <n v="-5656.964043583539"/>
        <n v="-7712.002145438115"/>
        <n v="-5764.275267680314"/>
        <n v="-5270.239951573847"/>
        <n v="-14594.088574852842"/>
        <n v="-15490.952813120446"/>
        <n v="-17654.27731601034"/>
        <n v="-16.65756224564393"/>
        <n v="-4856.535108958839"/>
        <n v="-660.2180340366008"/>
      </sharedItems>
    </cacheField>
    <cacheField name="farol2" numFmtId="165">
      <sharedItems>
        <s v=" "/>
        <e v="#REF!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TENS NEGOCIADOS" cacheId="0" dataCaption="" compact="0" compactData="0">
  <location ref="C4:E17" firstHeaderRow="0" firstDataRow="2" firstDataCol="0" rowPageCount="1" colPageCount="1"/>
  <pivotFields>
    <pivotField name="LABORATORIO" compact="0" outline="0" multipleItemSelectionAllowed="1" showAll="0">
      <items>
        <item x="0"/>
        <item x="1"/>
        <item t="default"/>
      </items>
    </pivotField>
    <pivotField name="CLASSE" compact="0" outline="0" multipleItemSelectionAllowed="1" showAll="0">
      <items>
        <item x="0"/>
        <item t="default"/>
      </items>
    </pivotField>
    <pivotField name="FAMILIA" compact="0" outline="0" multipleItemSelectionAllowed="1" showAll="0">
      <items>
        <item x="0"/>
        <item x="1"/>
        <item x="2"/>
        <item x="3"/>
        <item t="default"/>
      </items>
    </pivotField>
    <pivotField name="MATERIAL" axis="axisRow" compact="0" outline="0" multipleItemSelectionAllowed="1" showAll="0" sortType="ascending">
      <items>
        <item x="11"/>
        <item x="3"/>
        <item x="6"/>
        <item x="4"/>
        <item x="7"/>
        <item x="12"/>
        <item x="0"/>
        <item x="5"/>
        <item x="10"/>
        <item x="2"/>
        <item x="8"/>
        <item x="9"/>
        <item x="1"/>
        <item t="default"/>
      </items>
    </pivotField>
    <pivotField name="DESCRIÇÃO MATE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me da 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me Fornecedo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olu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Baselin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Preço medio realizad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eço Acordo Vig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pend acor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Fornecedor Contrato vigente" compact="0" outline="0" multipleItemSelectionAllowed="1" showAll="0">
      <items>
        <item x="0"/>
        <item x="1"/>
        <item x="2"/>
        <item t="default"/>
      </items>
    </pivotField>
    <pivotField name="Preço médio&#10;4T25 e 3T25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pend ano Atual Peers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pend mens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∆R$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∆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eço médio&#10;4t25 e 3t25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pend ano consum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pend mensal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∆r$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∆%2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Premissa deflatora" compact="0" numFmtId="166" outline="0" multipleItemSelectionAllowed="1" showAll="0">
      <items>
        <item x="0"/>
        <item t="default"/>
      </items>
    </pivotField>
    <pivotField name="Preço projetad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pend projetado&#10;a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∆R$ projetado compra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∆% ano compra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∆R$ projetado consum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∆% ano consumo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STATUS" axis="axisPage" compact="0" outline="0" multipleItemSelectionAllowed="1" showAll="0">
      <items>
        <item h="1" x="0"/>
        <item x="1"/>
        <item t="default"/>
      </items>
    </pivotField>
    <pivotField name="cronograma" compact="0" outline="0" multipleItemSelectionAllowed="1" showAll="0">
      <items>
        <item x="0"/>
        <item t="default"/>
      </items>
    </pivotField>
    <pivotField name="Fornecedor_final" compact="0" outline="0" multipleItemSelectionAllowed="1" showAll="0">
      <items>
        <item x="0"/>
        <item x="1"/>
        <item x="2"/>
        <item t="default"/>
      </items>
    </pivotField>
    <pivotField name="Preço un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Spend Cotado FIN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∆R$ Cota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∆%  Co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FIRSTLAB" compact="0" outline="0" multipleItemSelectionAllowed="1" showAll="0">
      <items>
        <item x="0"/>
        <item t="default"/>
      </items>
    </pivotField>
    <pivotField name="MARCA" compact="0" outline="0" multipleItemSelectionAllowed="1" showAll="0">
      <items>
        <item x="0"/>
        <item t="default"/>
      </items>
    </pivotField>
    <pivotField name="BD MICRO." compact="0" outline="0" multipleItemSelectionAllowed="1" showAll="0">
      <items>
        <item x="0"/>
        <item t="default"/>
      </items>
    </pivotField>
    <pivotField name="BD COLE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RAL" compact="0" outline="0" multipleItemSelectionAllowed="1" showAll="0">
      <items>
        <item x="0"/>
        <item x="1"/>
        <item t="default"/>
      </items>
    </pivotField>
    <pivotField name="BMX MICRO." compact="0" outline="0" multipleItemSelectionAllowed="1" showAll="0">
      <items>
        <item x="0"/>
        <item t="default"/>
      </items>
    </pivotField>
    <pivotField name="marca2" compact="0" outline="0" multipleItemSelectionAllowed="1" showAll="0">
      <items>
        <item x="0"/>
        <item t="default"/>
      </items>
    </pivotField>
    <pivotField name="SARSTEDT" compact="0" outline="0" multipleItemSelectionAllowed="1" showAll="0">
      <items>
        <item x="0"/>
        <item x="1"/>
        <item t="default"/>
      </items>
    </pivotField>
    <pivotField name="marca3" compact="0" outline="0" multipleItemSelectionAllowed="1" showAll="0">
      <items>
        <item x="0"/>
        <item x="1"/>
        <item t="default"/>
      </items>
    </pivotField>
    <pivotField name="POLAR FIX" compact="0" outline="0" multipleItemSelectionAllowed="1" showAll="0">
      <items>
        <item x="0"/>
        <item t="default"/>
      </items>
    </pivotField>
    <pivotField name="marca4" compact="0" outline="0" multipleItemSelectionAllowed="1" showAll="0">
      <items>
        <item x="0"/>
        <item t="default"/>
      </items>
    </pivotField>
    <pivotField name="MAFRA" compact="0" outline="0" multipleItemSelectionAllowed="1" showAll="0">
      <items>
        <item x="0"/>
        <item t="default"/>
      </items>
    </pivotField>
    <pivotField name="marca5" compact="0" outline="0" multipleItemSelectionAllowed="1" showAll="0">
      <items>
        <item x="0"/>
        <item t="default"/>
      </items>
    </pivotField>
    <pivotField name="TERA MEDICAL" compact="0" outline="0" multipleItemSelectionAllowed="1" showAll="0">
      <items>
        <item x="0"/>
        <item t="default"/>
      </items>
    </pivotField>
    <pivotField name="marca6" compact="0" outline="0" multipleItemSelectionAllowed="1" showAll="0">
      <items>
        <item x="0"/>
        <item t="default"/>
      </items>
    </pivotField>
    <pivotField name="PLASTLABOR / LABORCLIN" compact="0" outline="0" multipleItemSelectionAllowed="1" showAll="0">
      <items>
        <item x="0"/>
        <item t="default"/>
      </items>
    </pivotField>
    <pivotField name="marca7" compact="0" outline="0" multipleItemSelectionAllowed="1" showAll="0">
      <items>
        <item x="0"/>
        <item t="default"/>
      </items>
    </pivotField>
    <pivotField name="SENSORIAL" compact="0" outline="0" multipleItemSelectionAllowed="1" showAll="0">
      <items>
        <item x="0"/>
        <item t="default"/>
      </items>
    </pivotField>
    <pivotField name="marca8" compact="0" outline="0" multipleItemSelectionAllowed="1" showAll="0">
      <items>
        <item x="0"/>
        <item t="default"/>
      </items>
    </pivotField>
    <pivotField name="SOL-MILLENIUM" compact="0" outline="0" multipleItemSelectionAllowed="1" showAll="0">
      <items>
        <item x="0"/>
        <item x="1"/>
        <item x="2"/>
        <item t="default"/>
      </items>
    </pivotField>
    <pivotField name="NEW PROV" compact="0" outline="0" multipleItemSelectionAllowed="1" showAll="0">
      <items>
        <item x="0"/>
        <item t="default"/>
      </items>
    </pivotField>
    <pivotField name="marca9" compact="0" outline="0" multipleItemSelectionAllowed="1" showAll="0">
      <items>
        <item x="0"/>
        <item t="default"/>
      </items>
    </pivotField>
    <pivotField name="DNEDX(TESTE)" compact="0" outline="0" multipleItemSelectionAllowed="1" showAll="0">
      <items>
        <item x="0"/>
        <item t="default"/>
      </items>
    </pivotField>
    <pivotField name="DIPROMED" compact="0" outline="0" multipleItemSelectionAllowed="1" showAll="0">
      <items>
        <item x="0"/>
        <item t="default"/>
      </items>
    </pivotField>
    <pivotField name="marca10" compact="0" outline="0" multipleItemSelectionAllowed="1" showAll="0">
      <items>
        <item x="0"/>
        <item t="default"/>
      </items>
    </pivotField>
    <pivotField name="DK Diag." compact="0" outline="0" multipleItemSelectionAllowed="1" showAll="0">
      <items>
        <item x="0"/>
        <item t="default"/>
      </items>
    </pivotField>
    <pivotField name="DOBBER" compact="0" outline="0" multipleItemSelectionAllowed="1" showAll="0">
      <items>
        <item x="0"/>
        <item t="default"/>
      </items>
    </pivotField>
    <pivotField name="marca11" compact="0" outline="0" multipleItemSelectionAllowed="1" showAll="0">
      <items>
        <item x="0"/>
        <item t="default"/>
      </items>
    </pivotField>
    <pivotField name="ADVAGEN" compact="0" outline="0" multipleItemSelectionAllowed="1" showAll="0">
      <items>
        <item x="0"/>
        <item t="default"/>
      </items>
    </pivotField>
    <pivotField name="marca12" compact="0" outline="0" multipleItemSelectionAllowed="1" showAll="0">
      <items>
        <item x="0"/>
        <item t="default"/>
      </items>
    </pivotField>
    <pivotField name="ONMNIA" compact="0" outline="0" multipleItemSelectionAllowed="1" showAll="0">
      <items>
        <item x="0"/>
        <item t="default"/>
      </items>
    </pivotField>
    <pivotField name="BIO-RAD" compact="0" outline="0" multipleItemSelectionAllowed="1" showAll="0">
      <items>
        <item x="0"/>
        <item t="default"/>
      </items>
    </pivotField>
    <pivotField name="INJEX" compact="0" outline="0" multipleItemSelectionAllowed="1" showAll="0">
      <items>
        <item x="0"/>
        <item x="1"/>
        <item t="default"/>
      </items>
    </pivotField>
    <pivotField name="ABBOT TESTE RAPIDO" compact="0" outline="0" multipleItemSelectionAllowed="1" showAll="0">
      <items>
        <item x="0"/>
        <item t="default"/>
      </items>
    </pivotField>
    <pivotField name="MEDLEVERSOHN" compact="0" outline="0" multipleItemSelectionAllowed="1" showAll="0">
      <items>
        <item x="0"/>
        <item t="default"/>
      </items>
    </pivotField>
    <pivotField name="GLOBAL TESTES" compact="0" outline="0" multipleItemSelectionAllowed="1" showAll="0">
      <items>
        <item x="0"/>
        <item t="default"/>
      </items>
    </pivotField>
    <pivotField name="MASTER HIGIME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arca13" compact="0" outline="0" multipleItemSelectionAllowed="1" showAll="0">
      <items>
        <item x="0"/>
        <item x="1"/>
        <item x="2"/>
        <item x="3"/>
        <item t="default"/>
      </items>
    </pivotField>
    <pivotField name="PROBAC" compact="0" outline="0" multipleItemSelectionAllowed="1" showAll="0">
      <items>
        <item x="0"/>
        <item t="default"/>
      </items>
    </pivotField>
    <pivotField name="marca14" compact="0" outline="0" multipleItemSelectionAllowed="1" showAll="0">
      <items>
        <item x="0"/>
        <item t="default"/>
      </items>
    </pivotField>
    <pivotField name="LABTECH" compact="0" outline="0" multipleItemSelectionAllowed="1" showAll="0">
      <items>
        <item x="0"/>
        <item t="default"/>
      </items>
    </pivotField>
    <pivotField name="MARCA " compact="0" outline="0" multipleItemSelectionAllowed="1" showAll="0">
      <items>
        <item x="0"/>
        <item t="default"/>
      </items>
    </pivotField>
    <pivotField name="ADVAGEM" compact="0" outline="0" multipleItemSelectionAllowed="1" showAll="0">
      <items>
        <item x="0"/>
        <item t="default"/>
      </items>
    </pivotField>
    <pivotField name="marca15" compact="0" outline="0" multipleItemSelectionAllowed="1" showAll="0">
      <items>
        <item x="0"/>
        <item t="default"/>
      </items>
    </pivotField>
    <pivotField name="AGAR LAB" compact="0" outline="0" multipleItemSelectionAllowed="1" showAll="0">
      <items>
        <item x="0"/>
        <item t="default"/>
      </items>
    </pivotField>
    <pivotField name="MOBIUS" compact="0" outline="0" multipleItemSelectionAllowed="1" showAll="0">
      <items>
        <item x="0"/>
        <item t="default"/>
      </items>
    </pivotField>
    <pivotField name="GREINER" compact="0" outline="0" multipleItemSelectionAllowed="1" showAll="0">
      <items>
        <item x="0"/>
        <item x="1"/>
        <item t="default"/>
      </items>
    </pivotField>
    <pivotField name="WERFEN" compact="0" outline="0" multipleItemSelectionAllowed="1" showAll="0">
      <items>
        <item x="0"/>
        <item t="default"/>
      </items>
    </pivotField>
    <pivotField name="B" compact="0" outline="0" multipleItemSelectionAllowed="1" showAll="0">
      <items>
        <item x="0"/>
        <item t="default"/>
      </items>
    </pivotField>
    <pivotField name="b2" compact="0" outline="0" multipleItemSelectionAllowed="1" showAll="0">
      <items>
        <item x="0"/>
        <item t="default"/>
      </items>
    </pivotField>
    <pivotField name="b3" compact="0" outline="0" multipleItemSelectionAllowed="1" showAll="0">
      <items>
        <item x="0"/>
        <item t="default"/>
      </items>
    </pivotField>
    <pivotField name="b4" compact="0" outline="0" multipleItemSelectionAllowed="1" showAll="0">
      <items>
        <item x="0"/>
        <item t="default"/>
      </items>
    </pivotField>
    <pivotField name="b5" compact="0" outline="0" multipleItemSelectionAllowed="1" showAll="0">
      <items>
        <item x="0"/>
        <item t="default"/>
      </items>
    </pivotField>
    <pivotField name="b6" compact="0" outline="0" multipleItemSelectionAllowed="1" showAll="0">
      <items>
        <item x="0"/>
        <item t="default"/>
      </items>
    </pivotField>
    <pivotField name="b7" compact="0" outline="0" multipleItemSelectionAllowed="1" showAll="0">
      <items>
        <item x="0"/>
        <item t="default"/>
      </items>
    </pivotField>
    <pivotField name="b8" compact="0" outline="0" multipleItemSelectionAllowed="1" showAll="0">
      <items>
        <item x="0"/>
        <item t="default"/>
      </items>
    </pivotField>
    <pivotField name="b9" compact="0" outline="0" multipleItemSelectionAllowed="1" showAll="0">
      <items>
        <item x="0"/>
        <item t="default"/>
      </items>
    </pivotField>
    <pivotField name="b10" compact="0" outline="0" multipleItemSelectionAllowed="1" showAll="0">
      <items>
        <item x="0"/>
        <item t="default"/>
      </items>
    </pivotField>
    <pivotField name="b11" compact="0" outline="0" multipleItemSelectionAllowed="1" showAll="0">
      <items>
        <item x="0"/>
        <item t="default"/>
      </items>
    </pivotField>
    <pivotField name="b12" compact="0" outline="0" multipleItemSelectionAllowed="1" showAll="0">
      <items>
        <item x="0"/>
        <item t="default"/>
      </items>
    </pivotField>
    <pivotField name="b13" compact="0" outline="0" multipleItemSelectionAllowed="1" showAll="0">
      <items>
        <item x="0"/>
        <item t="default"/>
      </items>
    </pivotField>
    <pivotField name="b14" compact="0" outline="0" multipleItemSelectionAllowed="1" showAll="0">
      <items>
        <item x="0"/>
        <item t="default"/>
      </items>
    </pivotField>
    <pivotField name="b15" compact="0" outline="0" multipleItemSelectionAllowed="1" showAll="0">
      <items>
        <item x="0"/>
        <item t="default"/>
      </items>
    </pivotField>
    <pivotField name="b16" compact="0" outline="0" multipleItemSelectionAllowed="1" showAll="0">
      <items>
        <item x="0"/>
        <item t="default"/>
      </items>
    </pivotField>
    <pivotField name="b17" compact="0" outline="0" multipleItemSelectionAllowed="1" showAll="0">
      <items>
        <item x="0"/>
        <item t="default"/>
      </items>
    </pivotField>
    <pivotField name="b18" compact="0" outline="0" multipleItemSelectionAllowed="1" showAll="0">
      <items>
        <item x="0"/>
        <item t="default"/>
      </items>
    </pivotField>
    <pivotField name="b19" compact="0" outline="0" multipleItemSelectionAllowed="1" showAll="0">
      <items>
        <item x="0"/>
        <item t="default"/>
      </items>
    </pivotField>
    <pivotField name="b20" compact="0" outline="0" multipleItemSelectionAllowed="1" showAll="0">
      <items>
        <item x="0"/>
        <item t="default"/>
      </items>
    </pivotField>
    <pivotField name="b21" compact="0" outline="0" multipleItemSelectionAllowed="1" showAll="0">
      <items>
        <item x="0"/>
        <item t="default"/>
      </items>
    </pivotField>
    <pivotField name="C" compact="0" outline="0" multipleItemSelectionAllowed="1" showAll="0">
      <items>
        <item x="0"/>
        <item t="default"/>
      </items>
    </pivotField>
    <pivotField name="c2" compact="0" outline="0" multipleItemSelectionAllowed="1" showAll="0">
      <items>
        <item x="0"/>
        <item t="default"/>
      </items>
    </pivotField>
    <pivotField name="c3" compact="0" outline="0" multipleItemSelectionAllowed="1" showAll="0">
      <items>
        <item x="0"/>
        <item t="default"/>
      </items>
    </pivotField>
    <pivotField name="c4" compact="0" outline="0" multipleItemSelectionAllowed="1" showAll="0">
      <items>
        <item x="0"/>
        <item t="default"/>
      </items>
    </pivotField>
    <pivotField name="c5" compact="0" outline="0" multipleItemSelectionAllowed="1" showAll="0">
      <items>
        <item x="0"/>
        <item t="default"/>
      </items>
    </pivotField>
    <pivotField name="c6" compact="0" outline="0" multipleItemSelectionAllowed="1" showAll="0">
      <items>
        <item x="0"/>
        <item t="default"/>
      </items>
    </pivotField>
    <pivotField name="c7" compact="0" outline="0" multipleItemSelectionAllowed="1" showAll="0">
      <items>
        <item x="0"/>
        <item t="default"/>
      </items>
    </pivotField>
    <pivotField name="c8" compact="0" outline="0" multipleItemSelectionAllowed="1" showAll="0">
      <items>
        <item x="0"/>
        <item t="default"/>
      </items>
    </pivotField>
    <pivotField name="c9" compact="0" outline="0" multipleItemSelectionAllowed="1" showAll="0">
      <items>
        <item x="0"/>
        <item t="default"/>
      </items>
    </pivotField>
    <pivotField name="c10" compact="0" outline="0" multipleItemSelectionAllowed="1" showAll="0">
      <items>
        <item x="0"/>
        <item t="default"/>
      </items>
    </pivotField>
    <pivotField name="c11" compact="0" outline="0" multipleItemSelectionAllowed="1" showAll="0">
      <items>
        <item x="0"/>
        <item t="default"/>
      </items>
    </pivotField>
    <pivotField name="c12" compact="0" outline="0" multipleItemSelectionAllowed="1" showAll="0">
      <items>
        <item x="0"/>
        <item t="default"/>
      </items>
    </pivotField>
    <pivotField name="c13" compact="0" outline="0" multipleItemSelectionAllowed="1" showAll="0">
      <items>
        <item x="0"/>
        <item t="default"/>
      </items>
    </pivotField>
    <pivotField name="c14" compact="0" outline="0" multipleItemSelectionAllowed="1" showAll="0">
      <items>
        <item x="0"/>
        <item t="default"/>
      </items>
    </pivotField>
    <pivotField name="c15" compact="0" outline="0" multipleItemSelectionAllowed="1" showAll="0">
      <items>
        <item x="0"/>
        <item t="default"/>
      </items>
    </pivotField>
    <pivotField name="c16" compact="0" outline="0" multipleItemSelectionAllowed="1" showAll="0">
      <items>
        <item x="0"/>
        <item t="default"/>
      </items>
    </pivotField>
    <pivotField name="c17" compact="0" outline="0" multipleItemSelectionAllowed="1" showAll="0">
      <items>
        <item x="0"/>
        <item t="default"/>
      </items>
    </pivotField>
    <pivotField name="c18" compact="0" outline="0" multipleItemSelectionAllowed="1" showAll="0">
      <items>
        <item x="0"/>
        <item t="default"/>
      </items>
    </pivotField>
    <pivotField name="c19" compact="0" outline="0" multipleItemSelectionAllowed="1" showAll="0">
      <items>
        <item x="0"/>
        <item t="default"/>
      </items>
    </pivotField>
    <pivotField name="c20" compact="0" outline="0" multipleItemSelectionAllowed="1" showAll="0">
      <items>
        <item x="0"/>
        <item t="default"/>
      </items>
    </pivotField>
    <pivotField name="c21" compact="0" outline="0" multipleItemSelectionAllowed="1" showAll="0">
      <items>
        <item x="0"/>
        <item t="default"/>
      </items>
    </pivotField>
    <pivotField name="c22" compact="0" outline="0" multipleItemSelectionAllowed="1" showAll="0">
      <items>
        <item x="0"/>
        <item t="default"/>
      </items>
    </pivotField>
    <pivotField name="c23" compact="0" outline="0" multipleItemSelectionAllowed="1" showAll="0">
      <items>
        <item x="0"/>
        <item t="default"/>
      </items>
    </pivotField>
    <pivotField name="c24" compact="0" outline="0" multipleItemSelectionAllowed="1" showAll="0">
      <items>
        <item x="0"/>
        <item t="default"/>
      </items>
    </pivotField>
    <pivotField name="c25" compact="0" outline="0" multipleItemSelectionAllowed="1" showAll="0">
      <items>
        <item x="0"/>
        <item t="default"/>
      </items>
    </pivotField>
    <pivotField name="c26" compact="0" outline="0" multipleItemSelectionAllowed="1" showAll="0">
      <items>
        <item x="0"/>
        <item t="default"/>
      </items>
    </pivotField>
    <pivotField name="c27" compact="0" outline="0" multipleItemSelectionAllowed="1" showAll="0">
      <items>
        <item x="0"/>
        <item t="default"/>
      </items>
    </pivotField>
    <pivotField name="c28" compact="0" outline="0" multipleItemSelectionAllowed="1" showAll="0">
      <items>
        <item x="0"/>
        <item t="default"/>
      </items>
    </pivotField>
    <pivotField name="c29" compact="0" outline="0" multipleItemSelectionAllowed="1" showAll="0">
      <items>
        <item x="0"/>
        <item t="default"/>
      </items>
    </pivotField>
    <pivotField name="c30" compact="0" outline="0" multipleItemSelectionAllowed="1" showAll="0">
      <items>
        <item x="0"/>
        <item t="default"/>
      </items>
    </pivotField>
    <pivotField name="c31" compact="0" outline="0" multipleItemSelectionAllowed="1" showAll="0">
      <items>
        <item x="0"/>
        <item t="default"/>
      </items>
    </pivotField>
    <pivotField name="c32" compact="0" outline="0" multipleItemSelectionAllowed="1" showAll="0">
      <items>
        <item x="0"/>
        <item t="default"/>
      </items>
    </pivotField>
    <pivotField name="c33" compact="0" outline="0" multipleItemSelectionAllowed="1" showAll="0">
      <items>
        <item x="0"/>
        <item t="default"/>
      </items>
    </pivotField>
    <pivotField name="c34" compact="0" outline="0" multipleItemSelectionAllowed="1" showAll="0">
      <items>
        <item x="0"/>
        <item t="default"/>
      </items>
    </pivotField>
    <pivotField name="c35" compact="0" outline="0" multipleItemSelectionAllowed="1" showAll="0">
      <items>
        <item x="0"/>
        <item t="default"/>
      </items>
    </pivotField>
    <pivotField name="c36" compact="0" outline="0" multipleItemSelectionAllowed="1" showAll="0">
      <items>
        <item x="0"/>
        <item t="default"/>
      </items>
    </pivotField>
    <pivotField name="c37" compact="0" outline="0" multipleItemSelectionAllowed="1" showAll="0">
      <items>
        <item x="0"/>
        <item t="default"/>
      </items>
    </pivotField>
    <pivotField name="c38" compact="0" outline="0" multipleItemSelectionAllowed="1" showAll="0">
      <items>
        <item x="0"/>
        <item t="default"/>
      </items>
    </pivotField>
    <pivotField name="c39" compact="0" outline="0" multipleItemSelectionAllowed="1" showAll="0">
      <items>
        <item x="0"/>
        <item t="default"/>
      </items>
    </pivotField>
    <pivotField name="c40" compact="0" outline="0" multipleItemSelectionAllowed="1" showAll="0">
      <items>
        <item x="0"/>
        <item t="default"/>
      </items>
    </pivotField>
    <pivotField name="c41" compact="0" outline="0" multipleItemSelectionAllowed="1" showAll="0">
      <items>
        <item x="0"/>
        <item t="default"/>
      </items>
    </pivotField>
    <pivotField name="c42" compact="0" outline="0" multipleItemSelectionAllowed="1" showAll="0">
      <items>
        <item x="0"/>
        <item t="default"/>
      </items>
    </pivotField>
    <pivotField name="c43" compact="0" outline="0" multipleItemSelectionAllowed="1" showAll="0">
      <items>
        <item x="0"/>
        <item t="default"/>
      </items>
    </pivotField>
    <pivotField name="c44" compact="0" outline="0" multipleItemSelectionAllowed="1" showAll="0">
      <items>
        <item x="0"/>
        <item t="default"/>
      </items>
    </pivotField>
    <pivotField name="c45" compact="0" outline="0" multipleItemSelectionAllowed="1" showAll="0">
      <items>
        <item x="0"/>
        <item t="default"/>
      </items>
    </pivotField>
    <pivotField name="c46" compact="0" outline="0" multipleItemSelectionAllowed="1" showAll="0">
      <items>
        <item x="0"/>
        <item t="default"/>
      </items>
    </pivotField>
    <pivotField name="c47" compact="0" outline="0" multipleItemSelectionAllowed="1" showAll="0">
      <items>
        <item x="0"/>
        <item t="default"/>
      </items>
    </pivotField>
    <pivotField name="c48" compact="0" outline="0" multipleItemSelectionAllowed="1" showAll="0">
      <items>
        <item x="0"/>
        <item t="default"/>
      </items>
    </pivotField>
    <pivotField name="c49" compact="0" outline="0" multipleItemSelectionAllowed="1" showAll="0">
      <items>
        <item x="0"/>
        <item t="default"/>
      </items>
    </pivotField>
    <pivotField name="c50" compact="0" outline="0" multipleItemSelectionAllowed="1" showAll="0">
      <items>
        <item x="0"/>
        <item t="default"/>
      </items>
    </pivotField>
    <pivotField name="c51" compact="0" outline="0" multipleItemSelectionAllowed="1" showAll="0">
      <items>
        <item x="0"/>
        <item t="default"/>
      </items>
    </pivotField>
    <pivotField name="c52" compact="0" outline="0" multipleItemSelectionAllowed="1" showAll="0">
      <items>
        <item x="0"/>
        <item t="default"/>
      </items>
    </pivotField>
    <pivotField name="c53" compact="0" outline="0" multipleItemSelectionAllowed="1" showAll="0">
      <items>
        <item x="0"/>
        <item t="default"/>
      </items>
    </pivotField>
    <pivotField name="c54" compact="0" outline="0" multipleItemSelectionAllowed="1" showAll="0">
      <items>
        <item x="0"/>
        <item t="default"/>
      </items>
    </pivotField>
    <pivotField name="c55" compact="0" outline="0" multipleItemSelectionAllowed="1" showAll="0">
      <items>
        <item x="0"/>
        <item t="default"/>
      </items>
    </pivotField>
    <pivotField name="c56" compact="0" outline="0" multipleItemSelectionAllowed="1" showAll="0">
      <items>
        <item x="0"/>
        <item t="default"/>
      </items>
    </pivotField>
    <pivotField name="c57" compact="0" outline="0" multipleItemSelectionAllowed="1" showAll="0">
      <items>
        <item x="0"/>
        <item t="default"/>
      </items>
    </pivotField>
    <pivotField name="c58" compact="0" outline="0" multipleItemSelectionAllowed="1" showAll="0">
      <items>
        <item x="0"/>
        <item t="default"/>
      </items>
    </pivotField>
    <pivotField name="c59" compact="0" outline="0" multipleItemSelectionAllowed="1" showAll="0">
      <items>
        <item x="0"/>
        <item t="default"/>
      </items>
    </pivotField>
    <pivotField name="c60" compact="0" outline="0" multipleItemSelectionAllowed="1" showAll="0">
      <items>
        <item x="0"/>
        <item t="default"/>
      </items>
    </pivotField>
    <pivotField name="JAN" compact="0" numFmtId="165" outline="0" multipleItemSelectionAllowed="1" showAll="0">
      <items>
        <item x="0"/>
        <item t="default"/>
      </items>
    </pivotField>
    <pivotField name="FEV" compact="0" numFmtId="165" outline="0" multipleItemSelectionAllowed="1" showAll="0">
      <items>
        <item x="0"/>
        <item t="default"/>
      </items>
    </pivotField>
    <pivotField name="MAR" compact="0" numFmtId="165" outline="0" multipleItemSelectionAllowed="1" showAll="0">
      <items>
        <item x="0"/>
        <item t="default"/>
      </items>
    </pivotField>
    <pivotField name="ABR" compact="0" numFmtId="165" outline="0" multipleItemSelectionAllowed="1" showAll="0">
      <items>
        <item x="0"/>
        <item t="default"/>
      </items>
    </pivotField>
    <pivotField name="MAI" compact="0" numFmtId="165" outline="0" multipleItemSelectionAllowed="1" showAll="0">
      <items>
        <item x="0"/>
        <item t="default"/>
      </items>
    </pivotField>
    <pivotField name="JUN" compact="0" numFmtId="165" outline="0" multipleItemSelectionAllowed="1" showAll="0">
      <items>
        <item x="0"/>
        <item t="default"/>
      </items>
    </pivotField>
    <pivotField name="JUL" compact="0" numFmtId="165" outline="0" multipleItemSelectionAllowed="1" showAll="0">
      <items>
        <item x="0"/>
        <item t="default"/>
      </items>
    </pivotField>
    <pivotField name="AGO" compact="0" numFmtId="165" outline="0" multipleItemSelectionAllowed="1" showAll="0">
      <items>
        <item x="0"/>
        <item t="default"/>
      </items>
    </pivotField>
    <pivotField name="SET" compact="0" numFmtId="165" outline="0" multipleItemSelectionAllowed="1" showAll="0">
      <items>
        <item x="0"/>
        <item t="default"/>
      </items>
    </pivotField>
    <pivotField name="OUT" compact="0" numFmtId="165" outline="0" multipleItemSelectionAllowed="1" showAll="0">
      <items>
        <item x="0"/>
        <item t="default"/>
      </items>
    </pivotField>
    <pivotField name="NOV" compact="0" numFmtId="165" outline="0" multipleItemSelectionAllowed="1" showAll="0">
      <items>
        <item x="0"/>
        <item t="default"/>
      </items>
    </pivotField>
    <pivotField name="DEZ" compact="0" numFmtId="165" outline="0" multipleItemSelectionAllowed="1" showAll="0">
      <items>
        <item x="0"/>
        <item t="default"/>
      </items>
    </pivotField>
    <pivotField name="TOTAL 2026" compact="0" numFmtId="165" outline="0" multipleItemSelectionAllowed="1" showAll="0">
      <items>
        <item x="0"/>
        <item t="default"/>
      </items>
    </pivotField>
    <pivotField name="CARRY-OVER 2027" compact="0" numFmtId="165" outline="0" multipleItemSelectionAllowed="1" showAll="0">
      <items>
        <item x="0"/>
        <item t="default"/>
      </items>
    </pivotField>
    <pivotField name="Inicio Captação" compact="0" outline="0" multipleItemSelectionAllowed="1" showAll="0">
      <items>
        <item x="0"/>
        <item x="1"/>
        <item x="2"/>
        <item t="default"/>
      </items>
    </pivotField>
    <pivotField name="jan2" compact="0" numFmtId="165" outline="0" multipleItemSelectionAllowed="1" showAll="0">
      <items>
        <item x="0"/>
        <item t="default"/>
      </items>
    </pivotField>
    <pivotField name="fev2" compact="0" numFmtId="165" outline="0" multipleItemSelectionAllowed="1" showAll="0">
      <items>
        <item x="0"/>
        <item t="default"/>
      </items>
    </pivotField>
    <pivotField name="mar2" compact="0" numFmtId="165" outline="0" multipleItemSelectionAllowed="1" showAll="0">
      <items>
        <item x="0"/>
        <item t="default"/>
      </items>
    </pivotField>
    <pivotField name="abr2" compact="0" numFmtId="165" outline="0" multipleItemSelectionAllowed="1" showAll="0">
      <items>
        <item x="0"/>
        <item t="default"/>
      </items>
    </pivotField>
    <pivotField name="mai2" compact="0" numFmtId="165" outline="0" multipleItemSelectionAllowed="1" showAll="0">
      <items>
        <item x="0"/>
        <item x="1"/>
        <item x="2"/>
        <item x="3"/>
        <item t="default"/>
      </items>
    </pivotField>
    <pivotField name="jun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jul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ago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set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out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nov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dez2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TOTAL 2026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CARRY-OVER 202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FAROL" compact="0" numFmtId="165" outline="0" multipleItemSelectionAllowed="1" showAll="0">
      <items>
        <item x="0"/>
        <item x="1"/>
        <item t="default"/>
      </items>
    </pivotField>
    <pivotField name=" ∆R$&#10;consum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∆%&#10;a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INICIO CAPTAÇÃO" axis="axisRow" compact="0" outline="0" multipleItemSelectionAllowed="1" showAll="0" sortType="ascending" defaultSubtotal="0">
      <items>
        <item x="0"/>
        <item x="1"/>
        <item x="2"/>
      </items>
    </pivotField>
    <pivotField name=" JAN" compact="0" numFmtId="165" outline="0" multipleItemSelectionAllowed="1" showAll="0">
      <items>
        <item x="0"/>
        <item t="default"/>
      </items>
    </pivotField>
    <pivotField name="fev3" compact="0" numFmtId="165" outline="0" multipleItemSelectionAllowed="1" showAll="0">
      <items>
        <item x="0"/>
        <item t="default"/>
      </items>
    </pivotField>
    <pivotField name="mar3" compact="0" numFmtId="165" outline="0" multipleItemSelectionAllowed="1" showAll="0">
      <items>
        <item x="0"/>
        <item t="default"/>
      </items>
    </pivotField>
    <pivotField name=" ABR" compact="0" numFmtId="164" outline="0" multipleItemSelectionAllowed="1" showAll="0">
      <items>
        <item x="0"/>
        <item t="default"/>
      </items>
    </pivotField>
    <pivotField name=" MAI" compact="0" numFmtId="164" outline="0" multipleItemSelectionAllowed="1" showAll="0">
      <items>
        <item x="0"/>
        <item x="1"/>
        <item x="2"/>
        <item x="3"/>
        <item t="default"/>
      </items>
    </pivotField>
    <pivotField name=" JU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JU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AG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SE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OU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NO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DEZ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total 2026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 carry-over 2027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farol2" compact="0" numFmtId="165" outline="0" multipleItemSelectionAllowed="1" showAll="0">
      <items>
        <item x="0"/>
        <item x="1"/>
        <item t="default"/>
      </items>
    </pivotField>
  </pivotFields>
  <rowFields>
    <field x="200"/>
    <field x="3"/>
  </rowFields>
  <pageFields>
    <pageField fld="32"/>
  </page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16.57"/>
    <col customWidth="1" min="3" max="3" width="20.29"/>
    <col customWidth="1" min="4" max="4" width="10.43"/>
    <col customWidth="1" min="5" max="5" width="15.29"/>
    <col customWidth="1" min="6" max="6" width="32.0"/>
    <col customWidth="1" min="7" max="7" width="5.71"/>
    <col customWidth="1" min="8" max="8" width="6.43"/>
    <col customWidth="1" min="9" max="9" width="12.86"/>
    <col customWidth="1" min="10" max="10" width="12.14"/>
    <col customWidth="1" min="11" max="11" width="9.57"/>
    <col customWidth="1" hidden="1" min="12" max="12" width="12.43"/>
    <col customWidth="1" hidden="1" min="13" max="13" width="10.29"/>
    <col customWidth="1" hidden="1" min="14" max="14" width="7.86"/>
    <col customWidth="1" hidden="1" min="15" max="15" width="11.14"/>
    <col customWidth="1" hidden="1" min="16" max="16" width="7.71"/>
    <col customWidth="1" hidden="1" min="17" max="17" width="10.29"/>
    <col customWidth="1" hidden="1" min="18" max="18" width="13.57"/>
    <col customWidth="1" hidden="1" min="19" max="19" width="8.86"/>
    <col customWidth="1" hidden="1" min="20" max="20" width="8.43"/>
    <col customWidth="1" hidden="1" min="21" max="21" width="7.43"/>
    <col customWidth="1" min="22" max="22" width="10.0"/>
    <col customWidth="1" min="23" max="23" width="13.71"/>
    <col customWidth="1" min="24" max="24" width="8.71"/>
    <col customWidth="1" min="25" max="25" width="8.29"/>
    <col customWidth="1" min="26" max="26" width="7.14"/>
    <col customWidth="1" min="27" max="27" width="8.43"/>
    <col customWidth="1" min="28" max="28" width="10.0"/>
    <col customWidth="1" min="29" max="29" width="15.29"/>
    <col customWidth="1" min="30" max="30" width="13.71"/>
    <col customWidth="1" min="31" max="31" width="7.57"/>
    <col customWidth="1" min="32" max="32" width="16.29"/>
    <col customWidth="1" min="33" max="33" width="8.0"/>
    <col customWidth="1" min="34" max="34" width="11.29"/>
    <col customWidth="1" min="35" max="35" width="14.29"/>
    <col customWidth="1" min="36" max="36" width="15.86"/>
    <col customWidth="1" min="37" max="37" width="9.0"/>
    <col customWidth="1" min="38" max="38" width="12.29"/>
    <col customWidth="1" min="39" max="39" width="13.0"/>
    <col customWidth="1" min="40" max="40" width="12.14"/>
    <col customWidth="1" min="41" max="41" width="11.29"/>
    <col customWidth="1" min="42" max="42" width="9.57"/>
    <col customWidth="1" min="43" max="43" width="12.29"/>
    <col customWidth="1" min="44" max="45" width="12.0"/>
    <col customWidth="1" min="46" max="46" width="13.71"/>
    <col customWidth="1" min="47" max="47" width="9.57"/>
    <col customWidth="1" min="48" max="48" width="11.14"/>
    <col customWidth="1" min="49" max="49" width="9.86"/>
    <col customWidth="1" min="50" max="50" width="11.43"/>
    <col customWidth="1" min="51" max="51" width="9.57"/>
    <col customWidth="1" min="52" max="52" width="9.43"/>
    <col customWidth="1" min="53" max="53" width="14.71"/>
    <col customWidth="1" min="54" max="54" width="14.86"/>
    <col customWidth="1" min="55" max="55" width="13.43"/>
    <col customWidth="1" min="56" max="56" width="12.86"/>
    <col customWidth="1" min="57" max="57" width="11.86"/>
    <col customWidth="1" min="58" max="58" width="12.0"/>
    <col customWidth="1" min="59" max="59" width="14.71"/>
    <col customWidth="1" min="60" max="60" width="16.29"/>
    <col customWidth="1" min="61" max="61" width="12.0"/>
    <col customWidth="1" min="62" max="62" width="10.14"/>
    <col customWidth="1" min="63" max="63" width="14.29"/>
    <col customWidth="1" min="64" max="64" width="12.29"/>
    <col customWidth="1" min="65" max="65" width="9.57"/>
    <col customWidth="1" min="66" max="67" width="10.0"/>
    <col customWidth="1" min="68" max="68" width="9.57"/>
    <col customWidth="1" min="69" max="69" width="11.29"/>
    <col customWidth="1" min="70" max="70" width="9.57"/>
    <col customWidth="1" min="71" max="71" width="10.43"/>
    <col customWidth="1" min="72" max="72" width="10.29"/>
    <col customWidth="1" min="73" max="73" width="10.43"/>
    <col customWidth="1" min="74" max="74" width="10.29"/>
    <col customWidth="1" min="75" max="75" width="10.71"/>
    <col customWidth="1" min="76" max="76" width="14.71"/>
    <col customWidth="1" min="77" max="78" width="10.71"/>
    <col customWidth="1" min="79" max="79" width="13.29"/>
    <col customWidth="1" min="80" max="80" width="12.29"/>
    <col customWidth="1" min="81" max="81" width="11.71"/>
    <col customWidth="1" min="82" max="82" width="12.57"/>
    <col customWidth="1" min="83" max="83" width="12.43"/>
    <col customWidth="1" min="84" max="84" width="10.57"/>
    <col customWidth="1" min="85" max="85" width="9.43"/>
    <col customWidth="1" min="86" max="86" width="11.86"/>
    <col customWidth="1" min="87" max="87" width="12.71"/>
    <col customWidth="1" min="88" max="88" width="11.0"/>
    <col customWidth="1" min="89" max="109" width="4.71"/>
    <col customWidth="1" min="110" max="110" width="12.71"/>
    <col customWidth="1" min="111" max="112" width="4.71"/>
    <col customWidth="1" hidden="1" min="113" max="169" width="4.71"/>
    <col customWidth="1" hidden="1" min="170" max="181" width="11.71"/>
    <col customWidth="1" hidden="1" min="182" max="182" width="13.0"/>
    <col customWidth="1" hidden="1" min="183" max="183" width="17.57"/>
    <col customWidth="1" min="184" max="184" width="15.71"/>
    <col customWidth="1" hidden="1" min="185" max="185" width="6.57"/>
    <col customWidth="1" hidden="1" min="186" max="186" width="6.29"/>
    <col customWidth="1" hidden="1" min="187" max="187" width="7.29"/>
    <col customWidth="1" hidden="1" min="188" max="188" width="6.71"/>
    <col customWidth="1" hidden="1" min="189" max="189" width="9.0"/>
    <col customWidth="1" hidden="1" min="190" max="196" width="10.0"/>
    <col customWidth="1" hidden="1" min="197" max="197" width="13.71"/>
    <col customWidth="1" hidden="1" min="198" max="198" width="18.71"/>
    <col customWidth="1" hidden="1" min="199" max="199" width="11.14"/>
    <col customWidth="1" min="200" max="200" width="14.71"/>
    <col customWidth="1" min="201" max="201" width="10.0"/>
    <col customWidth="1" min="202" max="202" width="17.0"/>
    <col customWidth="1" min="203" max="203" width="7.43"/>
    <col customWidth="1" min="204" max="204" width="6.29"/>
    <col customWidth="1" min="205" max="205" width="7.29"/>
    <col customWidth="1" min="206" max="206" width="7.71"/>
    <col customWidth="1" min="207" max="207" width="7.86"/>
    <col customWidth="1" min="208" max="214" width="9.0"/>
    <col customWidth="1" min="215" max="215" width="13.71"/>
    <col customWidth="1" min="216" max="216" width="18.71"/>
    <col customWidth="1" min="217" max="217" width="11.14"/>
    <col customWidth="1" min="218" max="220" width="9.14"/>
    <col customWidth="1" min="221" max="221" width="15.57"/>
    <col customWidth="1" min="222" max="222" width="21.14"/>
  </cols>
  <sheetData>
    <row r="1" ht="24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3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18</v>
      </c>
      <c r="U1" s="4" t="s">
        <v>19</v>
      </c>
      <c r="V1" s="2" t="s">
        <v>15</v>
      </c>
      <c r="W1" s="2" t="s">
        <v>20</v>
      </c>
      <c r="X1" s="2" t="s">
        <v>17</v>
      </c>
      <c r="Y1" s="4" t="s">
        <v>18</v>
      </c>
      <c r="Z1" s="4" t="s">
        <v>19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36</v>
      </c>
      <c r="AV1" s="6" t="s">
        <v>41</v>
      </c>
      <c r="AW1" s="2" t="s">
        <v>36</v>
      </c>
      <c r="AX1" s="2" t="s">
        <v>42</v>
      </c>
      <c r="AY1" s="2" t="s">
        <v>36</v>
      </c>
      <c r="AZ1" s="2" t="s">
        <v>43</v>
      </c>
      <c r="BA1" s="2" t="s">
        <v>36</v>
      </c>
      <c r="BB1" s="2" t="s">
        <v>44</v>
      </c>
      <c r="BC1" s="2" t="s">
        <v>36</v>
      </c>
      <c r="BD1" s="2" t="s">
        <v>45</v>
      </c>
      <c r="BE1" s="2" t="s">
        <v>36</v>
      </c>
      <c r="BF1" s="2" t="s">
        <v>46</v>
      </c>
      <c r="BG1" s="2" t="s">
        <v>36</v>
      </c>
      <c r="BH1" s="2" t="s">
        <v>47</v>
      </c>
      <c r="BI1" s="2" t="s">
        <v>48</v>
      </c>
      <c r="BJ1" s="2" t="s">
        <v>36</v>
      </c>
      <c r="BK1" s="2" t="s">
        <v>49</v>
      </c>
      <c r="BL1" s="2" t="s">
        <v>50</v>
      </c>
      <c r="BM1" s="2" t="s">
        <v>36</v>
      </c>
      <c r="BN1" s="6" t="s">
        <v>51</v>
      </c>
      <c r="BO1" s="2" t="s">
        <v>52</v>
      </c>
      <c r="BP1" s="2" t="s">
        <v>36</v>
      </c>
      <c r="BQ1" s="2" t="s">
        <v>53</v>
      </c>
      <c r="BR1" s="2" t="s">
        <v>36</v>
      </c>
      <c r="BS1" s="2" t="s">
        <v>54</v>
      </c>
      <c r="BT1" s="7" t="s">
        <v>55</v>
      </c>
      <c r="BU1" s="4" t="s">
        <v>56</v>
      </c>
      <c r="BV1" s="2" t="s">
        <v>57</v>
      </c>
      <c r="BW1" s="2" t="s">
        <v>58</v>
      </c>
      <c r="BX1" s="2" t="s">
        <v>59</v>
      </c>
      <c r="BY1" s="2" t="s">
        <v>60</v>
      </c>
      <c r="BZ1" s="2" t="s">
        <v>36</v>
      </c>
      <c r="CA1" s="2" t="s">
        <v>61</v>
      </c>
      <c r="CB1" s="2" t="s">
        <v>36</v>
      </c>
      <c r="CC1" s="2" t="s">
        <v>62</v>
      </c>
      <c r="CD1" s="2" t="s">
        <v>63</v>
      </c>
      <c r="CE1" s="2" t="s">
        <v>64</v>
      </c>
      <c r="CF1" s="5" t="s">
        <v>36</v>
      </c>
      <c r="CG1" s="2" t="s">
        <v>65</v>
      </c>
      <c r="CH1" s="2" t="s">
        <v>66</v>
      </c>
      <c r="CI1" s="2" t="s">
        <v>67</v>
      </c>
      <c r="CJ1" s="2" t="s">
        <v>68</v>
      </c>
      <c r="CK1" s="5" t="s">
        <v>69</v>
      </c>
      <c r="CL1" s="5" t="s">
        <v>69</v>
      </c>
      <c r="CM1" s="5" t="s">
        <v>69</v>
      </c>
      <c r="CN1" s="5" t="s">
        <v>69</v>
      </c>
      <c r="CO1" s="5" t="s">
        <v>69</v>
      </c>
      <c r="CP1" s="5" t="s">
        <v>69</v>
      </c>
      <c r="CQ1" s="5" t="s">
        <v>69</v>
      </c>
      <c r="CR1" s="5" t="s">
        <v>69</v>
      </c>
      <c r="CS1" s="5" t="s">
        <v>69</v>
      </c>
      <c r="CT1" s="5" t="s">
        <v>69</v>
      </c>
      <c r="CU1" s="5" t="s">
        <v>69</v>
      </c>
      <c r="CV1" s="5" t="s">
        <v>69</v>
      </c>
      <c r="CW1" s="5" t="s">
        <v>69</v>
      </c>
      <c r="CX1" s="5" t="s">
        <v>69</v>
      </c>
      <c r="CY1" s="5" t="s">
        <v>69</v>
      </c>
      <c r="CZ1" s="5" t="s">
        <v>69</v>
      </c>
      <c r="DA1" s="5" t="s">
        <v>69</v>
      </c>
      <c r="DB1" s="5" t="s">
        <v>69</v>
      </c>
      <c r="DC1" s="5" t="s">
        <v>69</v>
      </c>
      <c r="DD1" s="5" t="s">
        <v>69</v>
      </c>
      <c r="DE1" s="5" t="s">
        <v>69</v>
      </c>
      <c r="DF1" s="5" t="s">
        <v>70</v>
      </c>
      <c r="DG1" s="5" t="s">
        <v>70</v>
      </c>
      <c r="DH1" s="5" t="s">
        <v>70</v>
      </c>
      <c r="DI1" s="5" t="s">
        <v>70</v>
      </c>
      <c r="DJ1" s="5" t="s">
        <v>70</v>
      </c>
      <c r="DK1" s="5" t="s">
        <v>70</v>
      </c>
      <c r="DL1" s="5" t="s">
        <v>70</v>
      </c>
      <c r="DM1" s="5" t="s">
        <v>70</v>
      </c>
      <c r="DN1" s="5" t="s">
        <v>70</v>
      </c>
      <c r="DO1" s="5" t="s">
        <v>70</v>
      </c>
      <c r="DP1" s="5" t="s">
        <v>70</v>
      </c>
      <c r="DQ1" s="5" t="s">
        <v>70</v>
      </c>
      <c r="DR1" s="5" t="s">
        <v>70</v>
      </c>
      <c r="DS1" s="5" t="s">
        <v>70</v>
      </c>
      <c r="DT1" s="5" t="s">
        <v>70</v>
      </c>
      <c r="DU1" s="5" t="s">
        <v>70</v>
      </c>
      <c r="DV1" s="5" t="s">
        <v>70</v>
      </c>
      <c r="DW1" s="5" t="s">
        <v>70</v>
      </c>
      <c r="DX1" s="5" t="s">
        <v>70</v>
      </c>
      <c r="DY1" s="5" t="s">
        <v>70</v>
      </c>
      <c r="DZ1" s="5" t="s">
        <v>70</v>
      </c>
      <c r="EA1" s="5" t="s">
        <v>70</v>
      </c>
      <c r="EB1" s="5" t="s">
        <v>70</v>
      </c>
      <c r="EC1" s="5" t="s">
        <v>70</v>
      </c>
      <c r="ED1" s="5" t="s">
        <v>70</v>
      </c>
      <c r="EE1" s="5" t="s">
        <v>70</v>
      </c>
      <c r="EF1" s="5" t="s">
        <v>70</v>
      </c>
      <c r="EG1" s="5" t="s">
        <v>70</v>
      </c>
      <c r="EH1" s="5" t="s">
        <v>70</v>
      </c>
      <c r="EI1" s="5" t="s">
        <v>70</v>
      </c>
      <c r="EJ1" s="5" t="s">
        <v>70</v>
      </c>
      <c r="EK1" s="5" t="s">
        <v>70</v>
      </c>
      <c r="EL1" s="5" t="s">
        <v>70</v>
      </c>
      <c r="EM1" s="5" t="s">
        <v>70</v>
      </c>
      <c r="EN1" s="5" t="s">
        <v>70</v>
      </c>
      <c r="EO1" s="5" t="s">
        <v>70</v>
      </c>
      <c r="EP1" s="5" t="s">
        <v>70</v>
      </c>
      <c r="EQ1" s="5" t="s">
        <v>70</v>
      </c>
      <c r="ER1" s="5" t="s">
        <v>70</v>
      </c>
      <c r="ES1" s="5" t="s">
        <v>70</v>
      </c>
      <c r="ET1" s="5" t="s">
        <v>70</v>
      </c>
      <c r="EU1" s="5" t="s">
        <v>70</v>
      </c>
      <c r="EV1" s="5" t="s">
        <v>70</v>
      </c>
      <c r="EW1" s="5" t="s">
        <v>70</v>
      </c>
      <c r="EX1" s="5" t="s">
        <v>70</v>
      </c>
      <c r="EY1" s="5" t="s">
        <v>70</v>
      </c>
      <c r="EZ1" s="5" t="s">
        <v>70</v>
      </c>
      <c r="FA1" s="5" t="s">
        <v>70</v>
      </c>
      <c r="FB1" s="5" t="s">
        <v>70</v>
      </c>
      <c r="FC1" s="5" t="s">
        <v>70</v>
      </c>
      <c r="FD1" s="5" t="s">
        <v>70</v>
      </c>
      <c r="FE1" s="5" t="s">
        <v>70</v>
      </c>
      <c r="FF1" s="5" t="s">
        <v>70</v>
      </c>
      <c r="FG1" s="5" t="s">
        <v>70</v>
      </c>
      <c r="FH1" s="5" t="s">
        <v>70</v>
      </c>
      <c r="FI1" s="5" t="s">
        <v>70</v>
      </c>
      <c r="FJ1" s="5" t="s">
        <v>70</v>
      </c>
      <c r="FK1" s="5" t="s">
        <v>70</v>
      </c>
      <c r="FL1" s="5" t="s">
        <v>70</v>
      </c>
      <c r="FM1" s="5" t="s">
        <v>70</v>
      </c>
      <c r="FN1" s="5" t="s">
        <v>71</v>
      </c>
      <c r="FO1" s="5" t="s">
        <v>72</v>
      </c>
      <c r="FP1" s="5" t="s">
        <v>73</v>
      </c>
      <c r="FQ1" s="5" t="s">
        <v>74</v>
      </c>
      <c r="FR1" s="5" t="s">
        <v>75</v>
      </c>
      <c r="FS1" s="5" t="s">
        <v>76</v>
      </c>
      <c r="FT1" s="5" t="s">
        <v>77</v>
      </c>
      <c r="FU1" s="5" t="s">
        <v>78</v>
      </c>
      <c r="FV1" s="5" t="s">
        <v>79</v>
      </c>
      <c r="FW1" s="5" t="s">
        <v>80</v>
      </c>
      <c r="FX1" s="5" t="s">
        <v>81</v>
      </c>
      <c r="FY1" s="5" t="s">
        <v>82</v>
      </c>
      <c r="FZ1" s="5" t="s">
        <v>83</v>
      </c>
      <c r="GA1" s="5" t="s">
        <v>84</v>
      </c>
      <c r="GB1" s="5" t="s">
        <v>85</v>
      </c>
      <c r="GC1" s="5" t="s">
        <v>71</v>
      </c>
      <c r="GD1" s="5" t="s">
        <v>72</v>
      </c>
      <c r="GE1" s="5" t="s">
        <v>73</v>
      </c>
      <c r="GF1" s="5" t="s">
        <v>74</v>
      </c>
      <c r="GG1" s="5" t="s">
        <v>75</v>
      </c>
      <c r="GH1" s="5" t="s">
        <v>76</v>
      </c>
      <c r="GI1" s="5" t="s">
        <v>77</v>
      </c>
      <c r="GJ1" s="5" t="s">
        <v>78</v>
      </c>
      <c r="GK1" s="5" t="s">
        <v>79</v>
      </c>
      <c r="GL1" s="5" t="s">
        <v>80</v>
      </c>
      <c r="GM1" s="5" t="s">
        <v>81</v>
      </c>
      <c r="GN1" s="5" t="s">
        <v>82</v>
      </c>
      <c r="GO1" s="8" t="s">
        <v>83</v>
      </c>
      <c r="GP1" s="8" t="s">
        <v>84</v>
      </c>
      <c r="GQ1" s="9" t="s">
        <v>86</v>
      </c>
      <c r="GR1" s="8" t="s">
        <v>87</v>
      </c>
      <c r="GS1" s="5" t="s">
        <v>88</v>
      </c>
      <c r="GT1" s="5" t="s">
        <v>89</v>
      </c>
      <c r="GU1" s="10" t="s">
        <v>71</v>
      </c>
      <c r="GV1" s="5" t="s">
        <v>72</v>
      </c>
      <c r="GW1" s="5" t="s">
        <v>73</v>
      </c>
      <c r="GX1" s="8" t="s">
        <v>74</v>
      </c>
      <c r="GY1" s="8" t="s">
        <v>75</v>
      </c>
      <c r="GZ1" s="8" t="s">
        <v>76</v>
      </c>
      <c r="HA1" s="8" t="s">
        <v>77</v>
      </c>
      <c r="HB1" s="8" t="s">
        <v>78</v>
      </c>
      <c r="HC1" s="8" t="s">
        <v>79</v>
      </c>
      <c r="HD1" s="8" t="s">
        <v>80</v>
      </c>
      <c r="HE1" s="8" t="s">
        <v>81</v>
      </c>
      <c r="HF1" s="8" t="s">
        <v>82</v>
      </c>
      <c r="HG1" s="8" t="s">
        <v>83</v>
      </c>
      <c r="HH1" s="8" t="s">
        <v>84</v>
      </c>
      <c r="HI1" s="9" t="s">
        <v>86</v>
      </c>
      <c r="HJ1" s="1"/>
      <c r="HK1" s="1" t="s">
        <v>90</v>
      </c>
      <c r="HL1" s="1" t="s">
        <v>91</v>
      </c>
      <c r="HM1" s="1" t="s">
        <v>92</v>
      </c>
      <c r="HN1" s="11" t="s">
        <v>93</v>
      </c>
    </row>
    <row r="2" ht="13.5" customHeight="1">
      <c r="A2" s="12" t="str">
        <f t="shared" ref="A2:A48" si="2">TRIM(E2)</f>
        <v>209340</v>
      </c>
      <c r="B2" s="13" t="s">
        <v>0</v>
      </c>
      <c r="C2" s="14" t="s">
        <v>94</v>
      </c>
      <c r="D2" s="14" t="s">
        <v>95</v>
      </c>
      <c r="E2" s="15">
        <v>209340.0</v>
      </c>
      <c r="F2" s="13" t="s">
        <v>96</v>
      </c>
      <c r="G2" s="13" t="s">
        <v>97</v>
      </c>
      <c r="H2" s="16">
        <v>3069.0</v>
      </c>
      <c r="I2" s="13" t="s">
        <v>98</v>
      </c>
      <c r="J2" s="13" t="s">
        <v>99</v>
      </c>
      <c r="K2" s="16">
        <v>78687.0</v>
      </c>
      <c r="L2" s="17">
        <f t="shared" ref="L2:L48" si="3">M2*K2</f>
        <v>1407014.09</v>
      </c>
      <c r="M2" s="18">
        <v>17.88115050770775</v>
      </c>
      <c r="N2" s="13"/>
      <c r="O2" s="17">
        <f t="shared" ref="O2:O48" si="4">N2*K2</f>
        <v>0</v>
      </c>
      <c r="P2" s="17"/>
      <c r="Q2" s="19">
        <v>18.12843866171004</v>
      </c>
      <c r="R2" s="17">
        <f t="shared" ref="R2:R48" si="5">IF($Q2="",0,$Q2*$K2)</f>
        <v>1426472.453</v>
      </c>
      <c r="S2" s="17">
        <f t="shared" ref="S2:S48" si="6">R2/12</f>
        <v>118872.7044</v>
      </c>
      <c r="T2" s="17">
        <f t="shared" ref="T2:T48" si="7">IF($Q2=0,0,$R2-$L2)</f>
        <v>19458.36297</v>
      </c>
      <c r="U2" s="20">
        <f t="shared" ref="U2:U48" si="8">IFERROR(IF(OR(Q2="",Q2=0),"",T2/L2),"")</f>
        <v>0.01382954379</v>
      </c>
      <c r="V2" s="21">
        <v>18.08452671175896</v>
      </c>
      <c r="W2" s="17">
        <f t="shared" ref="W2:W48" si="9">IF($V2="",0,$V2*$K2)</f>
        <v>1423017.153</v>
      </c>
      <c r="X2" s="17">
        <f t="shared" ref="X2:X48" si="10">W2/12</f>
        <v>118584.7628</v>
      </c>
      <c r="Y2" s="17">
        <f t="shared" ref="Y2:Y48" si="11">IF($V2=0,0,$W2-$L2)</f>
        <v>16003.06337</v>
      </c>
      <c r="Z2" s="20">
        <f t="shared" ref="Z2:Z48" si="12">IFERROR(IF(OR(V2="",V2=0),"",Y2/L2),"")</f>
        <v>0.0113737762</v>
      </c>
      <c r="AA2" s="22">
        <v>0.12</v>
      </c>
      <c r="AB2" s="18">
        <f t="shared" ref="AB2:AB48" si="13">Q2-Q2*AA2</f>
        <v>15.95302602</v>
      </c>
      <c r="AC2" s="18">
        <f t="shared" ref="AC2:AC48" si="14">AB2*K2</f>
        <v>1255295.759</v>
      </c>
      <c r="AD2" s="18">
        <f t="shared" ref="AD2:AD48" si="15">AC2-R2</f>
        <v>-171176.6944</v>
      </c>
      <c r="AE2" s="23">
        <f t="shared" ref="AE2:AE48" si="16">IF(R2=0,"",AD2/R2)</f>
        <v>-0.12</v>
      </c>
      <c r="AF2" s="18">
        <f t="shared" ref="AF2:AF48" si="17">AC2-W2</f>
        <v>-167721.3948</v>
      </c>
      <c r="AG2" s="24">
        <f t="shared" ref="AG2:AG48" si="18">AF2/W2</f>
        <v>-0.1178632277</v>
      </c>
      <c r="AH2" s="13" t="s">
        <v>100</v>
      </c>
      <c r="AI2" s="13"/>
      <c r="AJ2" s="15" t="str">
        <f t="shared" ref="AJ2:AJ48" si="19">IFERROR(INDEX($AO$1:$FM$1,MATCH($AK2,$AO2:$FM2,0)),"")</f>
        <v/>
      </c>
      <c r="AK2" s="18">
        <f t="shared" ref="AK2:AK48" si="20">MIN(AO2:FM2)</f>
        <v>0</v>
      </c>
      <c r="AL2" s="17">
        <f t="shared" ref="AL2:AL48" si="21">AK2*K2</f>
        <v>0</v>
      </c>
      <c r="AM2" s="17">
        <f t="shared" ref="AM2:AM48" si="22">IF(OR(AK2="",AK2=0),0,AL2-$W2)</f>
        <v>0</v>
      </c>
      <c r="AN2" s="20" t="str">
        <f t="shared" ref="AN2:AN48" si="23">IF(AK2=0,"",AM2/$W2)</f>
        <v/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25"/>
      <c r="BV2" s="25"/>
      <c r="BW2" s="25"/>
      <c r="BX2" s="25"/>
      <c r="BY2" s="25"/>
      <c r="BZ2" s="25"/>
      <c r="CA2" s="25"/>
      <c r="CB2" s="26"/>
      <c r="CC2" s="26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25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25" t="str">
        <f t="shared" ref="FN2:FY2" si="1">$AD2*#REF!</f>
        <v>#REF!</v>
      </c>
      <c r="FO2" s="25" t="str">
        <f t="shared" si="1"/>
        <v>#REF!</v>
      </c>
      <c r="FP2" s="25" t="str">
        <f t="shared" si="1"/>
        <v>#REF!</v>
      </c>
      <c r="FQ2" s="25" t="str">
        <f t="shared" si="1"/>
        <v>#REF!</v>
      </c>
      <c r="FR2" s="25" t="str">
        <f t="shared" si="1"/>
        <v>#REF!</v>
      </c>
      <c r="FS2" s="25" t="str">
        <f t="shared" si="1"/>
        <v>#REF!</v>
      </c>
      <c r="FT2" s="25" t="str">
        <f t="shared" si="1"/>
        <v>#REF!</v>
      </c>
      <c r="FU2" s="25" t="str">
        <f t="shared" si="1"/>
        <v>#REF!</v>
      </c>
      <c r="FV2" s="25" t="str">
        <f t="shared" si="1"/>
        <v>#REF!</v>
      </c>
      <c r="FW2" s="25" t="str">
        <f t="shared" si="1"/>
        <v>#REF!</v>
      </c>
      <c r="FX2" s="25" t="str">
        <f t="shared" si="1"/>
        <v>#REF!</v>
      </c>
      <c r="FY2" s="25" t="str">
        <f t="shared" si="1"/>
        <v>#REF!</v>
      </c>
      <c r="FZ2" s="25" t="str">
        <f t="shared" ref="FZ2:FZ48" si="25">SUM(FN2:FY2)</f>
        <v>#REF!</v>
      </c>
      <c r="GA2" s="25" t="str">
        <f t="shared" ref="GA2:GA48" si="26">AD2-FZ2</f>
        <v>#REF!</v>
      </c>
      <c r="GB2" s="25"/>
      <c r="GC2" s="25">
        <f t="shared" ref="GC2:GC48" si="27">IF($GB2="jan",$AM2/12,0)</f>
        <v>0</v>
      </c>
      <c r="GD2" s="25">
        <f t="shared" ref="GD2:GD48" si="28">IF(GC2&lt;&gt;0,GC2,IF($GB2="fev",$AM2/12,0))</f>
        <v>0</v>
      </c>
      <c r="GE2" s="25">
        <f t="shared" ref="GE2:GE48" si="29">IF(GD2&lt;&gt;0,GD2,IF($GB2="mar",$AM2/12,0))</f>
        <v>0</v>
      </c>
      <c r="GF2" s="25">
        <f t="shared" ref="GF2:GF48" si="30">IF(GE2&lt;&gt;0,GE2,IF($GB2="abr",$AM2/12,0))</f>
        <v>0</v>
      </c>
      <c r="GG2" s="25">
        <f t="shared" ref="GG2:GG48" si="31">IF(GF2&lt;&gt;0,GF2,IF($GB2="mai",$AM2/12,0))</f>
        <v>0</v>
      </c>
      <c r="GH2" s="25">
        <f t="shared" ref="GH2:GH48" si="32">IF(GG2&lt;&gt;0,GG2,IF($GB2="jun",$AM2/12,0))</f>
        <v>0</v>
      </c>
      <c r="GI2" s="25">
        <f t="shared" ref="GI2:GI48" si="33">IF(GH2&lt;&gt;0,GH2,IF($GB2="jul",$AM2/12,0))</f>
        <v>0</v>
      </c>
      <c r="GJ2" s="25">
        <f t="shared" ref="GJ2:GJ48" si="34">IF(GI2&lt;&gt;0,GI2,IF($GB2="ago",$AM2/12,0))</f>
        <v>0</v>
      </c>
      <c r="GK2" s="25">
        <f t="shared" ref="GK2:GK48" si="35">IF(GJ2&lt;&gt;0,GJ2,IF($GB2="set",$AM2/12,0))</f>
        <v>0</v>
      </c>
      <c r="GL2" s="25">
        <f t="shared" ref="GL2:GL48" si="36">IF(GK2&lt;&gt;0,GK2,IF($GB2="out",$AM2/12,0))</f>
        <v>0</v>
      </c>
      <c r="GM2" s="25">
        <f t="shared" ref="GM2:GM48" si="37">IF(GL2&lt;&gt;0,GL2,IF($GB2="nov",$AM2/12,0))</f>
        <v>0</v>
      </c>
      <c r="GN2" s="25">
        <f t="shared" ref="GN2:GN48" si="38">IF(GM2&lt;&gt;0,GM2,IF($GB2="dez",$AM2/12,0))</f>
        <v>0</v>
      </c>
      <c r="GO2" s="25">
        <f t="shared" ref="GO2:GO48" si="39">SUM(GC2:GN2)</f>
        <v>0</v>
      </c>
      <c r="GP2" s="25" t="str">
        <f t="shared" ref="GP2:GP48" si="40">IF(GB2="","",IF(AM2=0,0,AM2-GO2))</f>
        <v/>
      </c>
      <c r="GQ2" s="27" t="str">
        <f t="shared" ref="GQ2:GQ48" si="41">IF(GO2=0,"",IF(GO2=FZ2,0,IF(GO2&lt;FZ2,1,2)))</f>
        <v/>
      </c>
      <c r="GR2" s="28">
        <f t="shared" ref="GR2:GR48" si="42">IF(OR(AK2="",AK2=0),0,AL2-$W2)</f>
        <v>0</v>
      </c>
      <c r="GS2" s="29" t="str">
        <f t="shared" ref="GS2:GS48" si="43">IF(AK2=0,"",GR2/$W2)</f>
        <v/>
      </c>
      <c r="GT2" s="25" t="str">
        <f t="shared" ref="GT2:GT48" si="44">GB2</f>
        <v/>
      </c>
      <c r="GU2" s="25">
        <f t="shared" ref="GU2:GU48" si="45">IF($GT2="jan",$GR2/12,0)</f>
        <v>0</v>
      </c>
      <c r="GV2" s="25">
        <f t="shared" ref="GV2:GV48" si="46">IF(GU2&lt;&gt;0,GU2,IF($GT2="fev",$GR2/12,0))</f>
        <v>0</v>
      </c>
      <c r="GW2" s="25">
        <f t="shared" ref="GW2:GW48" si="47">IF(GV2&lt;&gt;0,GV2,IF($GT2="mar",$GR2/12,0))</f>
        <v>0</v>
      </c>
      <c r="GX2" s="30">
        <f t="shared" ref="GX2:GX48" si="48">IF(GW2&lt;&gt;0,GW2,IF($GT2="abr",$GR2/12,0))</f>
        <v>0</v>
      </c>
      <c r="GY2" s="30">
        <f t="shared" ref="GY2:GY48" si="49">IF(GX2&lt;&gt;0,GX2,IF($GT2="mai",$GR2/12,0))</f>
        <v>0</v>
      </c>
      <c r="GZ2" s="30">
        <f t="shared" ref="GZ2:GZ48" si="50">IF(GY2&lt;&gt;0,GY2,IF($GT2="jun",$GR2/12,0))</f>
        <v>0</v>
      </c>
      <c r="HA2" s="30">
        <f t="shared" ref="HA2:HA48" si="51">IF(GZ2&lt;&gt;0,GZ2,IF($GT2="jul",$GR2/12,0))</f>
        <v>0</v>
      </c>
      <c r="HB2" s="30">
        <f t="shared" ref="HB2:HB48" si="52">IF(HA2&lt;&gt;0,HA2,IF($GT2="ago",$GR2/12,0))</f>
        <v>0</v>
      </c>
      <c r="HC2" s="30">
        <f t="shared" ref="HC2:HC48" si="53">IF(HB2&lt;&gt;0,HB2,IF($GT2="set",$GR2/12,0))</f>
        <v>0</v>
      </c>
      <c r="HD2" s="30">
        <f t="shared" ref="HD2:HD48" si="54">IF(HC2&lt;&gt;0,HC2,IF($GT2="out",$GR2/12,0))</f>
        <v>0</v>
      </c>
      <c r="HE2" s="30">
        <f t="shared" ref="HE2:HE48" si="55">IF(HD2&lt;&gt;0,HD2,IF($GT2="nov",$GR2/12,0))</f>
        <v>0</v>
      </c>
      <c r="HF2" s="30">
        <f t="shared" ref="HF2:HF48" si="56">IF(HE2&lt;&gt;0,HE2,IF($GT2="dez",$GR2/12,0))</f>
        <v>0</v>
      </c>
      <c r="HG2" s="30">
        <f t="shared" ref="HG2:HG48" si="57">SUM(GU2:HF2)</f>
        <v>0</v>
      </c>
      <c r="HH2" s="30" t="str">
        <f t="shared" ref="HH2:HH48" si="58">IF(GT2=0,"",IF(GR2=0,0,GR2-HG2))</f>
        <v/>
      </c>
      <c r="HI2" s="27" t="str">
        <f t="shared" ref="HI2:HI48" si="59">IF(HG2=0,"",IF(HG2=FZ2,0,IF(HG2&lt;FZ2,1,2)))</f>
        <v/>
      </c>
      <c r="HJ2" s="12"/>
      <c r="HK2" s="12">
        <v>1.0</v>
      </c>
      <c r="HL2" s="12">
        <v>1.0</v>
      </c>
      <c r="HM2" s="25" t="str">
        <f t="shared" ref="HM2:HM48" si="60">IF($GB2&lt;&gt;"",$GB2,IFERROR(T(INDEX('MATRIZ 2X2'!$J$20:$J$367,MATCH(UPPER(TRIM(SUBSTITUTE(IF(ISNUMBER(VALUE(LEFT(TRIM(J2),6))),MID(TRIM(J2),FIND(" ",TRIM(J2))+1,300),TRIM(J2)),".",""))),'MATRIZ 2X2'!$P$20:$P$367,0))),""))</f>
        <v/>
      </c>
      <c r="HN2" s="12" t="str">
        <f t="shared" ref="HN2:HN48" si="61">IFERROR(INDEX('MATRIZ 2X2'!$G$20:$G$367,MATCH(UPPER(TRIM(SUBSTITUTE(IF(ISNUMBER(VALUE(LEFT(TRIM(J2),6))),MID(TRIM(J2),FIND(" ",TRIM(J2))+1,300),TRIM(J2)),".",""))),'MATRIZ 2X2'!$P$20:$P$367,0)),"")</f>
        <v/>
      </c>
    </row>
    <row r="3" ht="13.5" customHeight="1">
      <c r="A3" s="12" t="str">
        <f t="shared" si="2"/>
        <v>225698</v>
      </c>
      <c r="B3" s="31" t="s">
        <v>0</v>
      </c>
      <c r="C3" s="32" t="s">
        <v>94</v>
      </c>
      <c r="D3" s="32" t="s">
        <v>101</v>
      </c>
      <c r="E3" s="33">
        <v>225698.0</v>
      </c>
      <c r="F3" s="31" t="s">
        <v>102</v>
      </c>
      <c r="G3" s="31" t="s">
        <v>97</v>
      </c>
      <c r="H3" s="34">
        <v>3069.0</v>
      </c>
      <c r="I3" s="31" t="s">
        <v>98</v>
      </c>
      <c r="J3" s="31" t="s">
        <v>103</v>
      </c>
      <c r="K3" s="34">
        <v>999100.0</v>
      </c>
      <c r="L3" s="17">
        <f t="shared" si="3"/>
        <v>1167946.71</v>
      </c>
      <c r="M3" s="35">
        <v>1.1689988089280352</v>
      </c>
      <c r="N3" s="31">
        <v>1.17</v>
      </c>
      <c r="O3" s="17">
        <f t="shared" si="4"/>
        <v>1168947</v>
      </c>
      <c r="P3" s="36" t="s">
        <v>104</v>
      </c>
      <c r="Q3" s="37">
        <v>1.169</v>
      </c>
      <c r="R3" s="38">
        <f t="shared" si="5"/>
        <v>1167947.9</v>
      </c>
      <c r="S3" s="36">
        <f t="shared" si="6"/>
        <v>97328.99167</v>
      </c>
      <c r="T3" s="36">
        <f t="shared" si="7"/>
        <v>1.19</v>
      </c>
      <c r="U3" s="39">
        <f t="shared" si="8"/>
        <v>0.000001018882103</v>
      </c>
      <c r="V3" s="21">
        <v>1.168982551626084</v>
      </c>
      <c r="W3" s="17">
        <f t="shared" si="9"/>
        <v>1167930.467</v>
      </c>
      <c r="X3" s="36">
        <f t="shared" si="10"/>
        <v>97327.53894</v>
      </c>
      <c r="Y3" s="17">
        <f t="shared" si="11"/>
        <v>-16.24267038</v>
      </c>
      <c r="Z3" s="20">
        <f t="shared" si="12"/>
        <v>-0.00001390703038</v>
      </c>
      <c r="AA3" s="40">
        <v>0.12</v>
      </c>
      <c r="AB3" s="35">
        <f t="shared" si="13"/>
        <v>1.02872</v>
      </c>
      <c r="AC3" s="35">
        <f t="shared" si="14"/>
        <v>1027794.152</v>
      </c>
      <c r="AD3" s="35">
        <f t="shared" si="15"/>
        <v>-140153.748</v>
      </c>
      <c r="AE3" s="41">
        <f t="shared" si="16"/>
        <v>-0.12</v>
      </c>
      <c r="AF3" s="18">
        <f t="shared" si="17"/>
        <v>-140136.3153</v>
      </c>
      <c r="AG3" s="24">
        <f t="shared" si="18"/>
        <v>-0.119986865</v>
      </c>
      <c r="AH3" s="31" t="s">
        <v>105</v>
      </c>
      <c r="AI3" s="31"/>
      <c r="AJ3" s="33" t="str">
        <f t="shared" si="19"/>
        <v>BD COLETA</v>
      </c>
      <c r="AK3" s="35">
        <f t="shared" si="20"/>
        <v>1.169</v>
      </c>
      <c r="AL3" s="17">
        <f t="shared" si="21"/>
        <v>1167947.9</v>
      </c>
      <c r="AM3" s="17">
        <f t="shared" si="22"/>
        <v>17.43267038</v>
      </c>
      <c r="AN3" s="20">
        <f t="shared" si="23"/>
        <v>0.00001492612006</v>
      </c>
      <c r="AO3" s="35"/>
      <c r="AP3" s="35"/>
      <c r="AQ3" s="35"/>
      <c r="AR3" s="35">
        <v>1.169</v>
      </c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18"/>
      <c r="BT3" s="18"/>
      <c r="BU3" s="25"/>
      <c r="BV3" s="25"/>
      <c r="BW3" s="25"/>
      <c r="BX3" s="25"/>
      <c r="BY3" s="25"/>
      <c r="BZ3" s="25"/>
      <c r="CA3" s="25"/>
      <c r="CB3" s="26"/>
      <c r="CC3" s="26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25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25" t="str">
        <f t="shared" ref="FN3:FY3" si="24">$AD3*#REF!</f>
        <v>#REF!</v>
      </c>
      <c r="FO3" s="25" t="str">
        <f t="shared" si="24"/>
        <v>#REF!</v>
      </c>
      <c r="FP3" s="25" t="str">
        <f t="shared" si="24"/>
        <v>#REF!</v>
      </c>
      <c r="FQ3" s="25" t="str">
        <f t="shared" si="24"/>
        <v>#REF!</v>
      </c>
      <c r="FR3" s="25" t="str">
        <f t="shared" si="24"/>
        <v>#REF!</v>
      </c>
      <c r="FS3" s="25" t="str">
        <f t="shared" si="24"/>
        <v>#REF!</v>
      </c>
      <c r="FT3" s="25" t="str">
        <f t="shared" si="24"/>
        <v>#REF!</v>
      </c>
      <c r="FU3" s="25" t="str">
        <f t="shared" si="24"/>
        <v>#REF!</v>
      </c>
      <c r="FV3" s="25" t="str">
        <f t="shared" si="24"/>
        <v>#REF!</v>
      </c>
      <c r="FW3" s="25" t="str">
        <f t="shared" si="24"/>
        <v>#REF!</v>
      </c>
      <c r="FX3" s="25" t="str">
        <f t="shared" si="24"/>
        <v>#REF!</v>
      </c>
      <c r="FY3" s="25" t="str">
        <f t="shared" si="24"/>
        <v>#REF!</v>
      </c>
      <c r="FZ3" s="25" t="str">
        <f t="shared" si="25"/>
        <v>#REF!</v>
      </c>
      <c r="GA3" s="25" t="str">
        <f t="shared" si="26"/>
        <v>#REF!</v>
      </c>
      <c r="GB3" s="25" t="s">
        <v>76</v>
      </c>
      <c r="GC3" s="25">
        <f t="shared" si="27"/>
        <v>0</v>
      </c>
      <c r="GD3" s="25">
        <f t="shared" si="28"/>
        <v>0</v>
      </c>
      <c r="GE3" s="25">
        <f t="shared" si="29"/>
        <v>0</v>
      </c>
      <c r="GF3" s="25">
        <f t="shared" si="30"/>
        <v>0</v>
      </c>
      <c r="GG3" s="25">
        <f t="shared" si="31"/>
        <v>0</v>
      </c>
      <c r="GH3" s="25">
        <f t="shared" si="32"/>
        <v>1.452722532</v>
      </c>
      <c r="GI3" s="25">
        <f t="shared" si="33"/>
        <v>1.452722532</v>
      </c>
      <c r="GJ3" s="25">
        <f t="shared" si="34"/>
        <v>1.452722532</v>
      </c>
      <c r="GK3" s="25">
        <f t="shared" si="35"/>
        <v>1.452722532</v>
      </c>
      <c r="GL3" s="25">
        <f t="shared" si="36"/>
        <v>1.452722532</v>
      </c>
      <c r="GM3" s="25">
        <f t="shared" si="37"/>
        <v>1.452722532</v>
      </c>
      <c r="GN3" s="25">
        <f t="shared" si="38"/>
        <v>1.452722532</v>
      </c>
      <c r="GO3" s="25">
        <f t="shared" si="39"/>
        <v>10.16905772</v>
      </c>
      <c r="GP3" s="25">
        <f t="shared" si="40"/>
        <v>7.263612658</v>
      </c>
      <c r="GQ3" s="27" t="str">
        <f t="shared" si="41"/>
        <v>#REF!</v>
      </c>
      <c r="GR3" s="28">
        <f t="shared" si="42"/>
        <v>17.43267038</v>
      </c>
      <c r="GS3" s="29">
        <f t="shared" si="43"/>
        <v>0.00001492612006</v>
      </c>
      <c r="GT3" s="25" t="str">
        <f t="shared" si="44"/>
        <v>JUN</v>
      </c>
      <c r="GU3" s="25">
        <f t="shared" si="45"/>
        <v>0</v>
      </c>
      <c r="GV3" s="25">
        <f t="shared" si="46"/>
        <v>0</v>
      </c>
      <c r="GW3" s="25">
        <f t="shared" si="47"/>
        <v>0</v>
      </c>
      <c r="GX3" s="30">
        <f t="shared" si="48"/>
        <v>0</v>
      </c>
      <c r="GY3" s="30">
        <f t="shared" si="49"/>
        <v>0</v>
      </c>
      <c r="GZ3" s="30">
        <f t="shared" si="50"/>
        <v>1.452722532</v>
      </c>
      <c r="HA3" s="30">
        <f t="shared" si="51"/>
        <v>1.452722532</v>
      </c>
      <c r="HB3" s="30">
        <f t="shared" si="52"/>
        <v>1.452722532</v>
      </c>
      <c r="HC3" s="30">
        <f t="shared" si="53"/>
        <v>1.452722532</v>
      </c>
      <c r="HD3" s="30">
        <f t="shared" si="54"/>
        <v>1.452722532</v>
      </c>
      <c r="HE3" s="30">
        <f t="shared" si="55"/>
        <v>1.452722532</v>
      </c>
      <c r="HF3" s="30">
        <f t="shared" si="56"/>
        <v>1.452722532</v>
      </c>
      <c r="HG3" s="30">
        <f t="shared" si="57"/>
        <v>10.16905772</v>
      </c>
      <c r="HH3" s="30">
        <f t="shared" si="58"/>
        <v>7.263612658</v>
      </c>
      <c r="HI3" s="27" t="str">
        <f t="shared" si="59"/>
        <v>#REF!</v>
      </c>
      <c r="HJ3" s="12"/>
      <c r="HK3" s="12">
        <v>1.0</v>
      </c>
      <c r="HL3" s="12">
        <v>1.0</v>
      </c>
      <c r="HM3" s="25" t="str">
        <f t="shared" si="60"/>
        <v>JUN</v>
      </c>
      <c r="HN3" s="12" t="str">
        <f t="shared" si="61"/>
        <v/>
      </c>
    </row>
    <row r="4" ht="13.5" customHeight="1">
      <c r="A4" s="12" t="str">
        <f t="shared" si="2"/>
        <v>212235</v>
      </c>
      <c r="B4" s="31" t="s">
        <v>0</v>
      </c>
      <c r="C4" s="32" t="s">
        <v>94</v>
      </c>
      <c r="D4" s="32" t="s">
        <v>95</v>
      </c>
      <c r="E4" s="33">
        <v>212235.0</v>
      </c>
      <c r="F4" s="31" t="s">
        <v>106</v>
      </c>
      <c r="G4" s="31" t="s">
        <v>97</v>
      </c>
      <c r="H4" s="34">
        <v>3069.0</v>
      </c>
      <c r="I4" s="31" t="s">
        <v>98</v>
      </c>
      <c r="J4" s="31" t="s">
        <v>103</v>
      </c>
      <c r="K4" s="34">
        <v>1829500.0</v>
      </c>
      <c r="L4" s="17">
        <f t="shared" si="3"/>
        <v>1079394.73</v>
      </c>
      <c r="M4" s="35">
        <v>0.5899943864443837</v>
      </c>
      <c r="N4" s="31">
        <v>0.64</v>
      </c>
      <c r="O4" s="17">
        <f t="shared" si="4"/>
        <v>1170880</v>
      </c>
      <c r="P4" s="36" t="s">
        <v>104</v>
      </c>
      <c r="Q4" s="37">
        <v>0.6280344806957802</v>
      </c>
      <c r="R4" s="38">
        <f t="shared" si="5"/>
        <v>1148989.082</v>
      </c>
      <c r="S4" s="36">
        <f t="shared" si="6"/>
        <v>95749.0902</v>
      </c>
      <c r="T4" s="36">
        <f t="shared" si="7"/>
        <v>69594.35243</v>
      </c>
      <c r="U4" s="39">
        <f t="shared" si="8"/>
        <v>0.06447534947</v>
      </c>
      <c r="V4" s="21">
        <v>0.6375582085103213</v>
      </c>
      <c r="W4" s="17">
        <f t="shared" si="9"/>
        <v>1166412.742</v>
      </c>
      <c r="X4" s="36">
        <f t="shared" si="10"/>
        <v>97201.06187</v>
      </c>
      <c r="Y4" s="17">
        <f t="shared" si="11"/>
        <v>87018.01247</v>
      </c>
      <c r="Z4" s="20">
        <f t="shared" si="12"/>
        <v>0.0806174146</v>
      </c>
      <c r="AA4" s="40">
        <v>0.12</v>
      </c>
      <c r="AB4" s="35">
        <f t="shared" si="13"/>
        <v>0.552670343</v>
      </c>
      <c r="AC4" s="35">
        <f t="shared" si="14"/>
        <v>1011110.393</v>
      </c>
      <c r="AD4" s="35">
        <f t="shared" si="15"/>
        <v>-137878.6899</v>
      </c>
      <c r="AE4" s="41">
        <f t="shared" si="16"/>
        <v>-0.12</v>
      </c>
      <c r="AF4" s="18">
        <f t="shared" si="17"/>
        <v>-155302.3499</v>
      </c>
      <c r="AG4" s="24">
        <f t="shared" si="18"/>
        <v>-0.1331452789</v>
      </c>
      <c r="AH4" s="31" t="s">
        <v>105</v>
      </c>
      <c r="AI4" s="31"/>
      <c r="AJ4" s="33" t="str">
        <f t="shared" si="19"/>
        <v>BD COLETA</v>
      </c>
      <c r="AK4" s="35">
        <f t="shared" si="20"/>
        <v>0.64</v>
      </c>
      <c r="AL4" s="17">
        <f t="shared" si="21"/>
        <v>1170880</v>
      </c>
      <c r="AM4" s="17">
        <f t="shared" si="22"/>
        <v>4467.25753</v>
      </c>
      <c r="AN4" s="20">
        <f t="shared" si="23"/>
        <v>0.003829911461</v>
      </c>
      <c r="AO4" s="35"/>
      <c r="AP4" s="35"/>
      <c r="AQ4" s="35"/>
      <c r="AR4" s="35">
        <v>0.64</v>
      </c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18"/>
      <c r="BT4" s="18"/>
      <c r="BU4" s="25"/>
      <c r="BV4" s="25"/>
      <c r="BW4" s="25"/>
      <c r="BX4" s="25"/>
      <c r="BY4" s="25"/>
      <c r="BZ4" s="25"/>
      <c r="CA4" s="25"/>
      <c r="CB4" s="26"/>
      <c r="CC4" s="26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25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25" t="str">
        <f t="shared" ref="FN4:FY4" si="62">$AD4*#REF!</f>
        <v>#REF!</v>
      </c>
      <c r="FO4" s="25" t="str">
        <f t="shared" si="62"/>
        <v>#REF!</v>
      </c>
      <c r="FP4" s="25" t="str">
        <f t="shared" si="62"/>
        <v>#REF!</v>
      </c>
      <c r="FQ4" s="25" t="str">
        <f t="shared" si="62"/>
        <v>#REF!</v>
      </c>
      <c r="FR4" s="25" t="str">
        <f t="shared" si="62"/>
        <v>#REF!</v>
      </c>
      <c r="FS4" s="25" t="str">
        <f t="shared" si="62"/>
        <v>#REF!</v>
      </c>
      <c r="FT4" s="25" t="str">
        <f t="shared" si="62"/>
        <v>#REF!</v>
      </c>
      <c r="FU4" s="25" t="str">
        <f t="shared" si="62"/>
        <v>#REF!</v>
      </c>
      <c r="FV4" s="25" t="str">
        <f t="shared" si="62"/>
        <v>#REF!</v>
      </c>
      <c r="FW4" s="25" t="str">
        <f t="shared" si="62"/>
        <v>#REF!</v>
      </c>
      <c r="FX4" s="25" t="str">
        <f t="shared" si="62"/>
        <v>#REF!</v>
      </c>
      <c r="FY4" s="25" t="str">
        <f t="shared" si="62"/>
        <v>#REF!</v>
      </c>
      <c r="FZ4" s="25" t="str">
        <f t="shared" si="25"/>
        <v>#REF!</v>
      </c>
      <c r="GA4" s="25" t="str">
        <f t="shared" si="26"/>
        <v>#REF!</v>
      </c>
      <c r="GB4" s="25" t="s">
        <v>76</v>
      </c>
      <c r="GC4" s="25">
        <f t="shared" si="27"/>
        <v>0</v>
      </c>
      <c r="GD4" s="25">
        <f t="shared" si="28"/>
        <v>0</v>
      </c>
      <c r="GE4" s="25">
        <f t="shared" si="29"/>
        <v>0</v>
      </c>
      <c r="GF4" s="25">
        <f t="shared" si="30"/>
        <v>0</v>
      </c>
      <c r="GG4" s="25">
        <f t="shared" si="31"/>
        <v>0</v>
      </c>
      <c r="GH4" s="25">
        <f t="shared" si="32"/>
        <v>372.2714609</v>
      </c>
      <c r="GI4" s="25">
        <f t="shared" si="33"/>
        <v>372.2714609</v>
      </c>
      <c r="GJ4" s="25">
        <f t="shared" si="34"/>
        <v>372.2714609</v>
      </c>
      <c r="GK4" s="25">
        <f t="shared" si="35"/>
        <v>372.2714609</v>
      </c>
      <c r="GL4" s="25">
        <f t="shared" si="36"/>
        <v>372.2714609</v>
      </c>
      <c r="GM4" s="25">
        <f t="shared" si="37"/>
        <v>372.2714609</v>
      </c>
      <c r="GN4" s="25">
        <f t="shared" si="38"/>
        <v>372.2714609</v>
      </c>
      <c r="GO4" s="25">
        <f t="shared" si="39"/>
        <v>2605.900226</v>
      </c>
      <c r="GP4" s="25">
        <f t="shared" si="40"/>
        <v>1861.357304</v>
      </c>
      <c r="GQ4" s="27" t="str">
        <f t="shared" si="41"/>
        <v>#REF!</v>
      </c>
      <c r="GR4" s="28">
        <f t="shared" si="42"/>
        <v>4467.25753</v>
      </c>
      <c r="GS4" s="29">
        <f t="shared" si="43"/>
        <v>0.003829911461</v>
      </c>
      <c r="GT4" s="25" t="str">
        <f t="shared" si="44"/>
        <v>JUN</v>
      </c>
      <c r="GU4" s="25">
        <f t="shared" si="45"/>
        <v>0</v>
      </c>
      <c r="GV4" s="25">
        <f t="shared" si="46"/>
        <v>0</v>
      </c>
      <c r="GW4" s="25">
        <f t="shared" si="47"/>
        <v>0</v>
      </c>
      <c r="GX4" s="30">
        <f t="shared" si="48"/>
        <v>0</v>
      </c>
      <c r="GY4" s="30">
        <f t="shared" si="49"/>
        <v>0</v>
      </c>
      <c r="GZ4" s="30">
        <f t="shared" si="50"/>
        <v>372.2714609</v>
      </c>
      <c r="HA4" s="30">
        <f t="shared" si="51"/>
        <v>372.2714609</v>
      </c>
      <c r="HB4" s="30">
        <f t="shared" si="52"/>
        <v>372.2714609</v>
      </c>
      <c r="HC4" s="30">
        <f t="shared" si="53"/>
        <v>372.2714609</v>
      </c>
      <c r="HD4" s="30">
        <f t="shared" si="54"/>
        <v>372.2714609</v>
      </c>
      <c r="HE4" s="30">
        <f t="shared" si="55"/>
        <v>372.2714609</v>
      </c>
      <c r="HF4" s="30">
        <f t="shared" si="56"/>
        <v>372.2714609</v>
      </c>
      <c r="HG4" s="30">
        <f t="shared" si="57"/>
        <v>2605.900226</v>
      </c>
      <c r="HH4" s="30">
        <f t="shared" si="58"/>
        <v>1861.357304</v>
      </c>
      <c r="HI4" s="27" t="str">
        <f t="shared" si="59"/>
        <v>#REF!</v>
      </c>
      <c r="HJ4" s="12"/>
      <c r="HK4" s="12">
        <v>1.0</v>
      </c>
      <c r="HL4" s="12">
        <v>1.0</v>
      </c>
      <c r="HM4" s="25" t="str">
        <f t="shared" si="60"/>
        <v>JUN</v>
      </c>
      <c r="HN4" s="12" t="str">
        <f t="shared" si="61"/>
        <v/>
      </c>
    </row>
    <row r="5" ht="13.5" customHeight="1">
      <c r="A5" s="12" t="str">
        <f t="shared" si="2"/>
        <v>150420</v>
      </c>
      <c r="B5" s="31" t="s">
        <v>0</v>
      </c>
      <c r="C5" s="32" t="s">
        <v>94</v>
      </c>
      <c r="D5" s="32" t="s">
        <v>107</v>
      </c>
      <c r="E5" s="33">
        <v>150420.0</v>
      </c>
      <c r="F5" s="31" t="s">
        <v>108</v>
      </c>
      <c r="G5" s="31" t="s">
        <v>97</v>
      </c>
      <c r="H5" s="34">
        <v>3069.0</v>
      </c>
      <c r="I5" s="31" t="s">
        <v>98</v>
      </c>
      <c r="J5" s="31" t="s">
        <v>103</v>
      </c>
      <c r="K5" s="34">
        <v>1578672.0</v>
      </c>
      <c r="L5" s="17">
        <f t="shared" si="3"/>
        <v>1057735.63</v>
      </c>
      <c r="M5" s="35">
        <v>0.6700160831382326</v>
      </c>
      <c r="N5" s="31">
        <v>0.74</v>
      </c>
      <c r="O5" s="17">
        <f t="shared" si="4"/>
        <v>1168217.28</v>
      </c>
      <c r="P5" s="36" t="s">
        <v>104</v>
      </c>
      <c r="Q5" s="37">
        <v>0.7702578840709202</v>
      </c>
      <c r="R5" s="38">
        <f t="shared" si="5"/>
        <v>1215984.554</v>
      </c>
      <c r="S5" s="36">
        <f t="shared" si="6"/>
        <v>101332.0462</v>
      </c>
      <c r="T5" s="36">
        <f t="shared" si="7"/>
        <v>158248.9244</v>
      </c>
      <c r="U5" s="39">
        <f t="shared" si="8"/>
        <v>0.1496110369</v>
      </c>
      <c r="V5" s="21">
        <v>0.7946273243714965</v>
      </c>
      <c r="W5" s="17">
        <f t="shared" si="9"/>
        <v>1254455.907</v>
      </c>
      <c r="X5" s="36">
        <f t="shared" si="10"/>
        <v>104537.9923</v>
      </c>
      <c r="Y5" s="17">
        <f t="shared" si="11"/>
        <v>196720.2774</v>
      </c>
      <c r="Z5" s="20">
        <f t="shared" si="12"/>
        <v>0.1859824628</v>
      </c>
      <c r="AA5" s="40">
        <v>0.12</v>
      </c>
      <c r="AB5" s="35">
        <f t="shared" si="13"/>
        <v>0.677826938</v>
      </c>
      <c r="AC5" s="35">
        <f t="shared" si="14"/>
        <v>1070066.408</v>
      </c>
      <c r="AD5" s="35">
        <f t="shared" si="15"/>
        <v>-145918.1465</v>
      </c>
      <c r="AE5" s="41">
        <f t="shared" si="16"/>
        <v>-0.12</v>
      </c>
      <c r="AF5" s="18">
        <f t="shared" si="17"/>
        <v>-184389.4996</v>
      </c>
      <c r="AG5" s="24">
        <f t="shared" si="18"/>
        <v>-0.1469876291</v>
      </c>
      <c r="AH5" s="31" t="s">
        <v>105</v>
      </c>
      <c r="AI5" s="31"/>
      <c r="AJ5" s="33" t="str">
        <f t="shared" si="19"/>
        <v>BD COLETA</v>
      </c>
      <c r="AK5" s="35">
        <f t="shared" si="20"/>
        <v>0.74</v>
      </c>
      <c r="AL5" s="17">
        <f t="shared" si="21"/>
        <v>1168217.28</v>
      </c>
      <c r="AM5" s="17">
        <f t="shared" si="22"/>
        <v>-86238.62742</v>
      </c>
      <c r="AN5" s="20">
        <f t="shared" si="23"/>
        <v>-0.06874584185</v>
      </c>
      <c r="AO5" s="35"/>
      <c r="AP5" s="35"/>
      <c r="AQ5" s="35"/>
      <c r="AR5" s="35">
        <v>0.74</v>
      </c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18"/>
      <c r="BT5" s="18"/>
      <c r="BU5" s="25"/>
      <c r="BV5" s="25"/>
      <c r="BW5" s="25"/>
      <c r="BX5" s="25"/>
      <c r="BY5" s="25">
        <v>1.1543999999999999</v>
      </c>
      <c r="BZ5" s="25" t="s">
        <v>109</v>
      </c>
      <c r="CA5" s="25"/>
      <c r="CB5" s="26"/>
      <c r="CC5" s="26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25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25" t="str">
        <f t="shared" ref="FN5:FY5" si="63">$AD5*#REF!</f>
        <v>#REF!</v>
      </c>
      <c r="FO5" s="25" t="str">
        <f t="shared" si="63"/>
        <v>#REF!</v>
      </c>
      <c r="FP5" s="25" t="str">
        <f t="shared" si="63"/>
        <v>#REF!</v>
      </c>
      <c r="FQ5" s="25" t="str">
        <f t="shared" si="63"/>
        <v>#REF!</v>
      </c>
      <c r="FR5" s="25" t="str">
        <f t="shared" si="63"/>
        <v>#REF!</v>
      </c>
      <c r="FS5" s="25" t="str">
        <f t="shared" si="63"/>
        <v>#REF!</v>
      </c>
      <c r="FT5" s="25" t="str">
        <f t="shared" si="63"/>
        <v>#REF!</v>
      </c>
      <c r="FU5" s="25" t="str">
        <f t="shared" si="63"/>
        <v>#REF!</v>
      </c>
      <c r="FV5" s="25" t="str">
        <f t="shared" si="63"/>
        <v>#REF!</v>
      </c>
      <c r="FW5" s="25" t="str">
        <f t="shared" si="63"/>
        <v>#REF!</v>
      </c>
      <c r="FX5" s="25" t="str">
        <f t="shared" si="63"/>
        <v>#REF!</v>
      </c>
      <c r="FY5" s="25" t="str">
        <f t="shared" si="63"/>
        <v>#REF!</v>
      </c>
      <c r="FZ5" s="25" t="str">
        <f t="shared" si="25"/>
        <v>#REF!</v>
      </c>
      <c r="GA5" s="25" t="str">
        <f t="shared" si="26"/>
        <v>#REF!</v>
      </c>
      <c r="GB5" s="25" t="s">
        <v>76</v>
      </c>
      <c r="GC5" s="25">
        <f t="shared" si="27"/>
        <v>0</v>
      </c>
      <c r="GD5" s="25">
        <f t="shared" si="28"/>
        <v>0</v>
      </c>
      <c r="GE5" s="25">
        <f t="shared" si="29"/>
        <v>0</v>
      </c>
      <c r="GF5" s="25">
        <f t="shared" si="30"/>
        <v>0</v>
      </c>
      <c r="GG5" s="25">
        <f t="shared" si="31"/>
        <v>0</v>
      </c>
      <c r="GH5" s="25">
        <f t="shared" si="32"/>
        <v>-7186.552285</v>
      </c>
      <c r="GI5" s="25">
        <f t="shared" si="33"/>
        <v>-7186.552285</v>
      </c>
      <c r="GJ5" s="25">
        <f t="shared" si="34"/>
        <v>-7186.552285</v>
      </c>
      <c r="GK5" s="25">
        <f t="shared" si="35"/>
        <v>-7186.552285</v>
      </c>
      <c r="GL5" s="25">
        <f t="shared" si="36"/>
        <v>-7186.552285</v>
      </c>
      <c r="GM5" s="25">
        <f t="shared" si="37"/>
        <v>-7186.552285</v>
      </c>
      <c r="GN5" s="25">
        <f t="shared" si="38"/>
        <v>-7186.552285</v>
      </c>
      <c r="GO5" s="25">
        <f t="shared" si="39"/>
        <v>-50305.866</v>
      </c>
      <c r="GP5" s="25">
        <f t="shared" si="40"/>
        <v>-35932.76143</v>
      </c>
      <c r="GQ5" s="27" t="str">
        <f t="shared" si="41"/>
        <v>#REF!</v>
      </c>
      <c r="GR5" s="28">
        <f t="shared" si="42"/>
        <v>-86238.62742</v>
      </c>
      <c r="GS5" s="29">
        <f t="shared" si="43"/>
        <v>-0.06874584185</v>
      </c>
      <c r="GT5" s="25" t="str">
        <f t="shared" si="44"/>
        <v>JUN</v>
      </c>
      <c r="GU5" s="25">
        <f t="shared" si="45"/>
        <v>0</v>
      </c>
      <c r="GV5" s="25">
        <f t="shared" si="46"/>
        <v>0</v>
      </c>
      <c r="GW5" s="25">
        <f t="shared" si="47"/>
        <v>0</v>
      </c>
      <c r="GX5" s="30">
        <f t="shared" si="48"/>
        <v>0</v>
      </c>
      <c r="GY5" s="30">
        <f t="shared" si="49"/>
        <v>0</v>
      </c>
      <c r="GZ5" s="30">
        <f t="shared" si="50"/>
        <v>-7186.552285</v>
      </c>
      <c r="HA5" s="30">
        <f t="shared" si="51"/>
        <v>-7186.552285</v>
      </c>
      <c r="HB5" s="30">
        <f t="shared" si="52"/>
        <v>-7186.552285</v>
      </c>
      <c r="HC5" s="30">
        <f t="shared" si="53"/>
        <v>-7186.552285</v>
      </c>
      <c r="HD5" s="30">
        <f t="shared" si="54"/>
        <v>-7186.552285</v>
      </c>
      <c r="HE5" s="30">
        <f t="shared" si="55"/>
        <v>-7186.552285</v>
      </c>
      <c r="HF5" s="30">
        <f t="shared" si="56"/>
        <v>-7186.552285</v>
      </c>
      <c r="HG5" s="30">
        <f t="shared" si="57"/>
        <v>-50305.866</v>
      </c>
      <c r="HH5" s="30">
        <f t="shared" si="58"/>
        <v>-35932.76143</v>
      </c>
      <c r="HI5" s="27" t="str">
        <f t="shared" si="59"/>
        <v>#REF!</v>
      </c>
      <c r="HJ5" s="12"/>
      <c r="HK5" s="12">
        <v>1.0</v>
      </c>
      <c r="HL5" s="12">
        <v>1.0</v>
      </c>
      <c r="HM5" s="25" t="str">
        <f t="shared" si="60"/>
        <v>JUN</v>
      </c>
      <c r="HN5" s="12" t="str">
        <f t="shared" si="61"/>
        <v/>
      </c>
    </row>
    <row r="6" ht="13.5" customHeight="1">
      <c r="A6" s="12" t="str">
        <f t="shared" si="2"/>
        <v>171430</v>
      </c>
      <c r="B6" s="31" t="s">
        <v>0</v>
      </c>
      <c r="C6" s="32" t="s">
        <v>94</v>
      </c>
      <c r="D6" s="32" t="s">
        <v>110</v>
      </c>
      <c r="E6" s="33">
        <v>171430.0</v>
      </c>
      <c r="F6" s="31" t="s">
        <v>111</v>
      </c>
      <c r="G6" s="31" t="s">
        <v>112</v>
      </c>
      <c r="H6" s="34">
        <v>2045.0</v>
      </c>
      <c r="I6" s="31" t="s">
        <v>113</v>
      </c>
      <c r="J6" s="31" t="s">
        <v>103</v>
      </c>
      <c r="K6" s="34">
        <v>344600.0</v>
      </c>
      <c r="L6" s="17">
        <f t="shared" si="3"/>
        <v>951078.12</v>
      </c>
      <c r="M6" s="35">
        <v>2.7599481137550788</v>
      </c>
      <c r="N6" s="31">
        <v>2.3</v>
      </c>
      <c r="O6" s="17">
        <f t="shared" si="4"/>
        <v>792580</v>
      </c>
      <c r="P6" s="36" t="s">
        <v>104</v>
      </c>
      <c r="Q6" s="37">
        <v>2.863049189491336</v>
      </c>
      <c r="R6" s="38">
        <f t="shared" si="5"/>
        <v>986606.7507</v>
      </c>
      <c r="S6" s="36">
        <f t="shared" si="6"/>
        <v>82217.22922</v>
      </c>
      <c r="T6" s="36">
        <f t="shared" si="7"/>
        <v>35528.6307</v>
      </c>
      <c r="U6" s="39">
        <f t="shared" si="8"/>
        <v>0.0373561645</v>
      </c>
      <c r="V6" s="21">
        <v>2.863337992253067</v>
      </c>
      <c r="W6" s="17">
        <f t="shared" si="9"/>
        <v>986706.2721</v>
      </c>
      <c r="X6" s="36">
        <f t="shared" si="10"/>
        <v>82225.52268</v>
      </c>
      <c r="Y6" s="17">
        <f t="shared" si="11"/>
        <v>35628.15213</v>
      </c>
      <c r="Z6" s="20">
        <f t="shared" si="12"/>
        <v>0.03746080514</v>
      </c>
      <c r="AA6" s="40">
        <v>0.12</v>
      </c>
      <c r="AB6" s="35">
        <f t="shared" si="13"/>
        <v>2.519483287</v>
      </c>
      <c r="AC6" s="35">
        <f t="shared" si="14"/>
        <v>868213.9406</v>
      </c>
      <c r="AD6" s="35">
        <f t="shared" si="15"/>
        <v>-118392.8101</v>
      </c>
      <c r="AE6" s="41">
        <f t="shared" si="16"/>
        <v>-0.12</v>
      </c>
      <c r="AF6" s="18">
        <f t="shared" si="17"/>
        <v>-118492.3315</v>
      </c>
      <c r="AG6" s="24">
        <f t="shared" si="18"/>
        <v>-0.1200887588</v>
      </c>
      <c r="AH6" s="31" t="s">
        <v>105</v>
      </c>
      <c r="AI6" s="31"/>
      <c r="AJ6" s="33" t="str">
        <f t="shared" si="19"/>
        <v>BD COLETA</v>
      </c>
      <c r="AK6" s="35">
        <f t="shared" si="20"/>
        <v>2.12</v>
      </c>
      <c r="AL6" s="17">
        <f t="shared" si="21"/>
        <v>730552</v>
      </c>
      <c r="AM6" s="17">
        <f t="shared" si="22"/>
        <v>-256154.2721</v>
      </c>
      <c r="AN6" s="20">
        <f t="shared" si="23"/>
        <v>-0.2596053956</v>
      </c>
      <c r="AO6" s="35"/>
      <c r="AP6" s="35"/>
      <c r="AQ6" s="35"/>
      <c r="AR6" s="35">
        <v>2.12</v>
      </c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18"/>
      <c r="BT6" s="18"/>
      <c r="BU6" s="25"/>
      <c r="BV6" s="25"/>
      <c r="BW6" s="25"/>
      <c r="BX6" s="25"/>
      <c r="BY6" s="25"/>
      <c r="BZ6" s="25"/>
      <c r="CA6" s="25"/>
      <c r="CB6" s="26"/>
      <c r="CC6" s="26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25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25" t="str">
        <f t="shared" ref="FN6:FY6" si="64">$AD6*#REF!</f>
        <v>#REF!</v>
      </c>
      <c r="FO6" s="25" t="str">
        <f t="shared" si="64"/>
        <v>#REF!</v>
      </c>
      <c r="FP6" s="25" t="str">
        <f t="shared" si="64"/>
        <v>#REF!</v>
      </c>
      <c r="FQ6" s="25" t="str">
        <f t="shared" si="64"/>
        <v>#REF!</v>
      </c>
      <c r="FR6" s="25" t="str">
        <f t="shared" si="64"/>
        <v>#REF!</v>
      </c>
      <c r="FS6" s="25" t="str">
        <f t="shared" si="64"/>
        <v>#REF!</v>
      </c>
      <c r="FT6" s="25" t="str">
        <f t="shared" si="64"/>
        <v>#REF!</v>
      </c>
      <c r="FU6" s="25" t="str">
        <f t="shared" si="64"/>
        <v>#REF!</v>
      </c>
      <c r="FV6" s="25" t="str">
        <f t="shared" si="64"/>
        <v>#REF!</v>
      </c>
      <c r="FW6" s="25" t="str">
        <f t="shared" si="64"/>
        <v>#REF!</v>
      </c>
      <c r="FX6" s="25" t="str">
        <f t="shared" si="64"/>
        <v>#REF!</v>
      </c>
      <c r="FY6" s="25" t="str">
        <f t="shared" si="64"/>
        <v>#REF!</v>
      </c>
      <c r="FZ6" s="25" t="str">
        <f t="shared" si="25"/>
        <v>#REF!</v>
      </c>
      <c r="GA6" s="25" t="str">
        <f t="shared" si="26"/>
        <v>#REF!</v>
      </c>
      <c r="GB6" s="25" t="s">
        <v>76</v>
      </c>
      <c r="GC6" s="25">
        <f t="shared" si="27"/>
        <v>0</v>
      </c>
      <c r="GD6" s="25">
        <f t="shared" si="28"/>
        <v>0</v>
      </c>
      <c r="GE6" s="25">
        <f t="shared" si="29"/>
        <v>0</v>
      </c>
      <c r="GF6" s="25">
        <f t="shared" si="30"/>
        <v>0</v>
      </c>
      <c r="GG6" s="25">
        <f t="shared" si="31"/>
        <v>0</v>
      </c>
      <c r="GH6" s="25">
        <f t="shared" si="32"/>
        <v>-21346.18934</v>
      </c>
      <c r="GI6" s="25">
        <f t="shared" si="33"/>
        <v>-21346.18934</v>
      </c>
      <c r="GJ6" s="25">
        <f t="shared" si="34"/>
        <v>-21346.18934</v>
      </c>
      <c r="GK6" s="25">
        <f t="shared" si="35"/>
        <v>-21346.18934</v>
      </c>
      <c r="GL6" s="25">
        <f t="shared" si="36"/>
        <v>-21346.18934</v>
      </c>
      <c r="GM6" s="25">
        <f t="shared" si="37"/>
        <v>-21346.18934</v>
      </c>
      <c r="GN6" s="25">
        <f t="shared" si="38"/>
        <v>-21346.18934</v>
      </c>
      <c r="GO6" s="25">
        <f t="shared" si="39"/>
        <v>-149423.3254</v>
      </c>
      <c r="GP6" s="25">
        <f t="shared" si="40"/>
        <v>-106730.9467</v>
      </c>
      <c r="GQ6" s="27" t="str">
        <f t="shared" si="41"/>
        <v>#REF!</v>
      </c>
      <c r="GR6" s="28">
        <f t="shared" si="42"/>
        <v>-256154.2721</v>
      </c>
      <c r="GS6" s="29">
        <f t="shared" si="43"/>
        <v>-0.2596053956</v>
      </c>
      <c r="GT6" s="25" t="str">
        <f t="shared" si="44"/>
        <v>JUN</v>
      </c>
      <c r="GU6" s="25">
        <f t="shared" si="45"/>
        <v>0</v>
      </c>
      <c r="GV6" s="25">
        <f t="shared" si="46"/>
        <v>0</v>
      </c>
      <c r="GW6" s="25">
        <f t="shared" si="47"/>
        <v>0</v>
      </c>
      <c r="GX6" s="30">
        <f t="shared" si="48"/>
        <v>0</v>
      </c>
      <c r="GY6" s="30">
        <f t="shared" si="49"/>
        <v>0</v>
      </c>
      <c r="GZ6" s="30">
        <f t="shared" si="50"/>
        <v>-21346.18934</v>
      </c>
      <c r="HA6" s="30">
        <f t="shared" si="51"/>
        <v>-21346.18934</v>
      </c>
      <c r="HB6" s="30">
        <f t="shared" si="52"/>
        <v>-21346.18934</v>
      </c>
      <c r="HC6" s="30">
        <f t="shared" si="53"/>
        <v>-21346.18934</v>
      </c>
      <c r="HD6" s="30">
        <f t="shared" si="54"/>
        <v>-21346.18934</v>
      </c>
      <c r="HE6" s="30">
        <f t="shared" si="55"/>
        <v>-21346.18934</v>
      </c>
      <c r="HF6" s="30">
        <f t="shared" si="56"/>
        <v>-21346.18934</v>
      </c>
      <c r="HG6" s="30">
        <f t="shared" si="57"/>
        <v>-149423.3254</v>
      </c>
      <c r="HH6" s="30">
        <f t="shared" si="58"/>
        <v>-106730.9467</v>
      </c>
      <c r="HI6" s="27" t="str">
        <f t="shared" si="59"/>
        <v>#REF!</v>
      </c>
      <c r="HJ6" s="12"/>
      <c r="HK6" s="12">
        <v>1.0</v>
      </c>
      <c r="HL6" s="12">
        <v>1.0</v>
      </c>
      <c r="HM6" s="25" t="str">
        <f t="shared" si="60"/>
        <v>JUN</v>
      </c>
      <c r="HN6" s="12" t="str">
        <f t="shared" si="61"/>
        <v/>
      </c>
    </row>
    <row r="7" ht="13.5" customHeight="1">
      <c r="A7" s="12" t="str">
        <f t="shared" si="2"/>
        <v>211181</v>
      </c>
      <c r="B7" s="31" t="s">
        <v>0</v>
      </c>
      <c r="C7" s="32" t="s">
        <v>94</v>
      </c>
      <c r="D7" s="32" t="s">
        <v>95</v>
      </c>
      <c r="E7" s="33">
        <v>211181.0</v>
      </c>
      <c r="F7" s="31" t="s">
        <v>114</v>
      </c>
      <c r="G7" s="31" t="s">
        <v>97</v>
      </c>
      <c r="H7" s="34">
        <v>3069.0</v>
      </c>
      <c r="I7" s="31" t="s">
        <v>98</v>
      </c>
      <c r="J7" s="31" t="s">
        <v>103</v>
      </c>
      <c r="K7" s="34">
        <v>1534100.0</v>
      </c>
      <c r="L7" s="17">
        <f t="shared" si="3"/>
        <v>859096</v>
      </c>
      <c r="M7" s="35">
        <v>0.56</v>
      </c>
      <c r="N7" s="31">
        <v>0.58</v>
      </c>
      <c r="O7" s="17">
        <f t="shared" si="4"/>
        <v>889778</v>
      </c>
      <c r="P7" s="36" t="s">
        <v>104</v>
      </c>
      <c r="Q7" s="37">
        <v>0.5612108382726503</v>
      </c>
      <c r="R7" s="36">
        <f t="shared" si="5"/>
        <v>860953.547</v>
      </c>
      <c r="S7" s="36">
        <f t="shared" si="6"/>
        <v>71746.12892</v>
      </c>
      <c r="T7" s="36">
        <f t="shared" si="7"/>
        <v>1857.546994</v>
      </c>
      <c r="U7" s="39">
        <f t="shared" si="8"/>
        <v>0.002162211201</v>
      </c>
      <c r="V7" s="21">
        <v>0.560865628066732</v>
      </c>
      <c r="W7" s="17">
        <f t="shared" si="9"/>
        <v>860423.96</v>
      </c>
      <c r="X7" s="36">
        <f t="shared" si="10"/>
        <v>71701.99667</v>
      </c>
      <c r="Y7" s="17">
        <f t="shared" si="11"/>
        <v>1327.960017</v>
      </c>
      <c r="Z7" s="20">
        <f t="shared" si="12"/>
        <v>0.001545764405</v>
      </c>
      <c r="AA7" s="40">
        <v>0.12</v>
      </c>
      <c r="AB7" s="35">
        <f t="shared" si="13"/>
        <v>0.4938655377</v>
      </c>
      <c r="AC7" s="35">
        <f t="shared" si="14"/>
        <v>757639.1214</v>
      </c>
      <c r="AD7" s="35">
        <f t="shared" si="15"/>
        <v>-103314.4256</v>
      </c>
      <c r="AE7" s="41">
        <f t="shared" si="16"/>
        <v>-0.12</v>
      </c>
      <c r="AF7" s="18">
        <f t="shared" si="17"/>
        <v>-102784.8387</v>
      </c>
      <c r="AG7" s="24">
        <f t="shared" si="18"/>
        <v>-0.1194583641</v>
      </c>
      <c r="AH7" s="31" t="s">
        <v>105</v>
      </c>
      <c r="AI7" s="31"/>
      <c r="AJ7" s="33" t="str">
        <f t="shared" si="19"/>
        <v>BD COLETA</v>
      </c>
      <c r="AK7" s="35">
        <f t="shared" si="20"/>
        <v>0.58</v>
      </c>
      <c r="AL7" s="17">
        <f t="shared" si="21"/>
        <v>889778</v>
      </c>
      <c r="AM7" s="17">
        <f t="shared" si="22"/>
        <v>29354.03998</v>
      </c>
      <c r="AN7" s="20">
        <f t="shared" si="23"/>
        <v>0.03411578634</v>
      </c>
      <c r="AO7" s="35"/>
      <c r="AP7" s="35"/>
      <c r="AQ7" s="35"/>
      <c r="AR7" s="35">
        <v>0.58</v>
      </c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18"/>
      <c r="BT7" s="18"/>
      <c r="BU7" s="25"/>
      <c r="BV7" s="25"/>
      <c r="BW7" s="25"/>
      <c r="BX7" s="25"/>
      <c r="BY7" s="25"/>
      <c r="BZ7" s="25"/>
      <c r="CA7" s="25"/>
      <c r="CB7" s="26"/>
      <c r="CC7" s="26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25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25" t="str">
        <f t="shared" ref="FN7:FY7" si="65">$AD7*#REF!</f>
        <v>#REF!</v>
      </c>
      <c r="FO7" s="25" t="str">
        <f t="shared" si="65"/>
        <v>#REF!</v>
      </c>
      <c r="FP7" s="25" t="str">
        <f t="shared" si="65"/>
        <v>#REF!</v>
      </c>
      <c r="FQ7" s="25" t="str">
        <f t="shared" si="65"/>
        <v>#REF!</v>
      </c>
      <c r="FR7" s="25" t="str">
        <f t="shared" si="65"/>
        <v>#REF!</v>
      </c>
      <c r="FS7" s="25" t="str">
        <f t="shared" si="65"/>
        <v>#REF!</v>
      </c>
      <c r="FT7" s="25" t="str">
        <f t="shared" si="65"/>
        <v>#REF!</v>
      </c>
      <c r="FU7" s="25" t="str">
        <f t="shared" si="65"/>
        <v>#REF!</v>
      </c>
      <c r="FV7" s="25" t="str">
        <f t="shared" si="65"/>
        <v>#REF!</v>
      </c>
      <c r="FW7" s="25" t="str">
        <f t="shared" si="65"/>
        <v>#REF!</v>
      </c>
      <c r="FX7" s="25" t="str">
        <f t="shared" si="65"/>
        <v>#REF!</v>
      </c>
      <c r="FY7" s="25" t="str">
        <f t="shared" si="65"/>
        <v>#REF!</v>
      </c>
      <c r="FZ7" s="25" t="str">
        <f t="shared" si="25"/>
        <v>#REF!</v>
      </c>
      <c r="GA7" s="25" t="str">
        <f t="shared" si="26"/>
        <v>#REF!</v>
      </c>
      <c r="GB7" s="25" t="s">
        <v>76</v>
      </c>
      <c r="GC7" s="25">
        <f t="shared" si="27"/>
        <v>0</v>
      </c>
      <c r="GD7" s="25">
        <f t="shared" si="28"/>
        <v>0</v>
      </c>
      <c r="GE7" s="25">
        <f t="shared" si="29"/>
        <v>0</v>
      </c>
      <c r="GF7" s="25">
        <f t="shared" si="30"/>
        <v>0</v>
      </c>
      <c r="GG7" s="25">
        <f t="shared" si="31"/>
        <v>0</v>
      </c>
      <c r="GH7" s="25">
        <f t="shared" si="32"/>
        <v>2446.169999</v>
      </c>
      <c r="GI7" s="25">
        <f t="shared" si="33"/>
        <v>2446.169999</v>
      </c>
      <c r="GJ7" s="25">
        <f t="shared" si="34"/>
        <v>2446.169999</v>
      </c>
      <c r="GK7" s="25">
        <f t="shared" si="35"/>
        <v>2446.169999</v>
      </c>
      <c r="GL7" s="25">
        <f t="shared" si="36"/>
        <v>2446.169999</v>
      </c>
      <c r="GM7" s="25">
        <f t="shared" si="37"/>
        <v>2446.169999</v>
      </c>
      <c r="GN7" s="25">
        <f t="shared" si="38"/>
        <v>2446.169999</v>
      </c>
      <c r="GO7" s="25">
        <f t="shared" si="39"/>
        <v>17123.18999</v>
      </c>
      <c r="GP7" s="25">
        <f t="shared" si="40"/>
        <v>12230.84999</v>
      </c>
      <c r="GQ7" s="27" t="str">
        <f t="shared" si="41"/>
        <v>#REF!</v>
      </c>
      <c r="GR7" s="28">
        <f t="shared" si="42"/>
        <v>29354.03998</v>
      </c>
      <c r="GS7" s="29">
        <f t="shared" si="43"/>
        <v>0.03411578634</v>
      </c>
      <c r="GT7" s="25" t="str">
        <f t="shared" si="44"/>
        <v>JUN</v>
      </c>
      <c r="GU7" s="25">
        <f t="shared" si="45"/>
        <v>0</v>
      </c>
      <c r="GV7" s="25">
        <f t="shared" si="46"/>
        <v>0</v>
      </c>
      <c r="GW7" s="25">
        <f t="shared" si="47"/>
        <v>0</v>
      </c>
      <c r="GX7" s="30">
        <f t="shared" si="48"/>
        <v>0</v>
      </c>
      <c r="GY7" s="30">
        <f t="shared" si="49"/>
        <v>0</v>
      </c>
      <c r="GZ7" s="30">
        <f t="shared" si="50"/>
        <v>2446.169999</v>
      </c>
      <c r="HA7" s="30">
        <f t="shared" si="51"/>
        <v>2446.169999</v>
      </c>
      <c r="HB7" s="30">
        <f t="shared" si="52"/>
        <v>2446.169999</v>
      </c>
      <c r="HC7" s="30">
        <f t="shared" si="53"/>
        <v>2446.169999</v>
      </c>
      <c r="HD7" s="30">
        <f t="shared" si="54"/>
        <v>2446.169999</v>
      </c>
      <c r="HE7" s="30">
        <f t="shared" si="55"/>
        <v>2446.169999</v>
      </c>
      <c r="HF7" s="30">
        <f t="shared" si="56"/>
        <v>2446.169999</v>
      </c>
      <c r="HG7" s="30">
        <f t="shared" si="57"/>
        <v>17123.18999</v>
      </c>
      <c r="HH7" s="30">
        <f t="shared" si="58"/>
        <v>12230.84999</v>
      </c>
      <c r="HI7" s="27" t="str">
        <f t="shared" si="59"/>
        <v>#REF!</v>
      </c>
      <c r="HJ7" s="12"/>
      <c r="HK7" s="12">
        <v>1.0</v>
      </c>
      <c r="HL7" s="12">
        <v>1.0</v>
      </c>
      <c r="HM7" s="25" t="str">
        <f t="shared" si="60"/>
        <v>JUN</v>
      </c>
      <c r="HN7" s="12" t="str">
        <f t="shared" si="61"/>
        <v/>
      </c>
    </row>
    <row r="8" ht="13.5" customHeight="1">
      <c r="A8" s="12" t="str">
        <f t="shared" si="2"/>
        <v>171430</v>
      </c>
      <c r="B8" s="31" t="s">
        <v>0</v>
      </c>
      <c r="C8" s="32" t="s">
        <v>94</v>
      </c>
      <c r="D8" s="32" t="s">
        <v>110</v>
      </c>
      <c r="E8" s="33">
        <v>171430.0</v>
      </c>
      <c r="F8" s="31" t="s">
        <v>111</v>
      </c>
      <c r="G8" s="31" t="s">
        <v>97</v>
      </c>
      <c r="H8" s="34">
        <v>3069.0</v>
      </c>
      <c r="I8" s="31" t="s">
        <v>98</v>
      </c>
      <c r="J8" s="31" t="s">
        <v>103</v>
      </c>
      <c r="K8" s="34">
        <v>302800.0</v>
      </c>
      <c r="L8" s="17">
        <f t="shared" si="3"/>
        <v>834624.52</v>
      </c>
      <c r="M8" s="35">
        <v>2.7563557463672392</v>
      </c>
      <c r="N8" s="31">
        <v>2.3</v>
      </c>
      <c r="O8" s="17">
        <f t="shared" si="4"/>
        <v>696440</v>
      </c>
      <c r="P8" s="36" t="s">
        <v>104</v>
      </c>
      <c r="Q8" s="37">
        <v>2.863049189491336</v>
      </c>
      <c r="R8" s="38">
        <f t="shared" si="5"/>
        <v>866931.2946</v>
      </c>
      <c r="S8" s="36">
        <f t="shared" si="6"/>
        <v>72244.27455</v>
      </c>
      <c r="T8" s="36">
        <f t="shared" si="7"/>
        <v>32306.77458</v>
      </c>
      <c r="U8" s="39">
        <f t="shared" si="8"/>
        <v>0.03870815415</v>
      </c>
      <c r="V8" s="21">
        <v>2.863337992253067</v>
      </c>
      <c r="W8" s="17">
        <f t="shared" si="9"/>
        <v>867018.7441</v>
      </c>
      <c r="X8" s="36">
        <f t="shared" si="10"/>
        <v>72251.562</v>
      </c>
      <c r="Y8" s="17">
        <f t="shared" si="11"/>
        <v>32394.22405</v>
      </c>
      <c r="Z8" s="20">
        <f t="shared" si="12"/>
        <v>0.03881293118</v>
      </c>
      <c r="AA8" s="40">
        <v>0.12</v>
      </c>
      <c r="AB8" s="35">
        <f t="shared" si="13"/>
        <v>2.519483287</v>
      </c>
      <c r="AC8" s="35">
        <f t="shared" si="14"/>
        <v>762899.5392</v>
      </c>
      <c r="AD8" s="35">
        <f t="shared" si="15"/>
        <v>-104031.7553</v>
      </c>
      <c r="AE8" s="41">
        <f t="shared" si="16"/>
        <v>-0.12</v>
      </c>
      <c r="AF8" s="18">
        <f t="shared" si="17"/>
        <v>-104119.2048</v>
      </c>
      <c r="AG8" s="24">
        <f t="shared" si="18"/>
        <v>-0.1200887588</v>
      </c>
      <c r="AH8" s="31" t="s">
        <v>105</v>
      </c>
      <c r="AI8" s="31"/>
      <c r="AJ8" s="33" t="str">
        <f t="shared" si="19"/>
        <v>BD COLETA</v>
      </c>
      <c r="AK8" s="35">
        <f t="shared" si="20"/>
        <v>2.12</v>
      </c>
      <c r="AL8" s="17">
        <f t="shared" si="21"/>
        <v>641936</v>
      </c>
      <c r="AM8" s="17">
        <f t="shared" si="22"/>
        <v>-225082.7441</v>
      </c>
      <c r="AN8" s="20">
        <f t="shared" si="23"/>
        <v>-0.2596053956</v>
      </c>
      <c r="AO8" s="35"/>
      <c r="AP8" s="35"/>
      <c r="AQ8" s="35"/>
      <c r="AR8" s="35">
        <v>2.12</v>
      </c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18"/>
      <c r="BT8" s="18"/>
      <c r="BU8" s="25"/>
      <c r="BV8" s="25"/>
      <c r="BW8" s="25"/>
      <c r="BX8" s="25"/>
      <c r="BY8" s="25"/>
      <c r="BZ8" s="25"/>
      <c r="CA8" s="25"/>
      <c r="CB8" s="26"/>
      <c r="CC8" s="26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25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25" t="str">
        <f t="shared" ref="FN8:FY8" si="66">$AD8*#REF!</f>
        <v>#REF!</v>
      </c>
      <c r="FO8" s="25" t="str">
        <f t="shared" si="66"/>
        <v>#REF!</v>
      </c>
      <c r="FP8" s="25" t="str">
        <f t="shared" si="66"/>
        <v>#REF!</v>
      </c>
      <c r="FQ8" s="25" t="str">
        <f t="shared" si="66"/>
        <v>#REF!</v>
      </c>
      <c r="FR8" s="25" t="str">
        <f t="shared" si="66"/>
        <v>#REF!</v>
      </c>
      <c r="FS8" s="25" t="str">
        <f t="shared" si="66"/>
        <v>#REF!</v>
      </c>
      <c r="FT8" s="25" t="str">
        <f t="shared" si="66"/>
        <v>#REF!</v>
      </c>
      <c r="FU8" s="25" t="str">
        <f t="shared" si="66"/>
        <v>#REF!</v>
      </c>
      <c r="FV8" s="25" t="str">
        <f t="shared" si="66"/>
        <v>#REF!</v>
      </c>
      <c r="FW8" s="25" t="str">
        <f t="shared" si="66"/>
        <v>#REF!</v>
      </c>
      <c r="FX8" s="25" t="str">
        <f t="shared" si="66"/>
        <v>#REF!</v>
      </c>
      <c r="FY8" s="25" t="str">
        <f t="shared" si="66"/>
        <v>#REF!</v>
      </c>
      <c r="FZ8" s="25" t="str">
        <f t="shared" si="25"/>
        <v>#REF!</v>
      </c>
      <c r="GA8" s="25" t="str">
        <f t="shared" si="26"/>
        <v>#REF!</v>
      </c>
      <c r="GB8" s="25" t="s">
        <v>76</v>
      </c>
      <c r="GC8" s="25">
        <f t="shared" si="27"/>
        <v>0</v>
      </c>
      <c r="GD8" s="25">
        <f t="shared" si="28"/>
        <v>0</v>
      </c>
      <c r="GE8" s="25">
        <f t="shared" si="29"/>
        <v>0</v>
      </c>
      <c r="GF8" s="25">
        <f t="shared" si="30"/>
        <v>0</v>
      </c>
      <c r="GG8" s="25">
        <f t="shared" si="31"/>
        <v>0</v>
      </c>
      <c r="GH8" s="25">
        <f t="shared" si="32"/>
        <v>-18756.89534</v>
      </c>
      <c r="GI8" s="25">
        <f t="shared" si="33"/>
        <v>-18756.89534</v>
      </c>
      <c r="GJ8" s="25">
        <f t="shared" si="34"/>
        <v>-18756.89534</v>
      </c>
      <c r="GK8" s="25">
        <f t="shared" si="35"/>
        <v>-18756.89534</v>
      </c>
      <c r="GL8" s="25">
        <f t="shared" si="36"/>
        <v>-18756.89534</v>
      </c>
      <c r="GM8" s="25">
        <f t="shared" si="37"/>
        <v>-18756.89534</v>
      </c>
      <c r="GN8" s="25">
        <f t="shared" si="38"/>
        <v>-18756.89534</v>
      </c>
      <c r="GO8" s="25">
        <f t="shared" si="39"/>
        <v>-131298.2674</v>
      </c>
      <c r="GP8" s="25">
        <f t="shared" si="40"/>
        <v>-93784.47669</v>
      </c>
      <c r="GQ8" s="27" t="str">
        <f t="shared" si="41"/>
        <v>#REF!</v>
      </c>
      <c r="GR8" s="28">
        <f t="shared" si="42"/>
        <v>-225082.7441</v>
      </c>
      <c r="GS8" s="29">
        <f t="shared" si="43"/>
        <v>-0.2596053956</v>
      </c>
      <c r="GT8" s="25" t="str">
        <f t="shared" si="44"/>
        <v>JUN</v>
      </c>
      <c r="GU8" s="25">
        <f t="shared" si="45"/>
        <v>0</v>
      </c>
      <c r="GV8" s="25">
        <f t="shared" si="46"/>
        <v>0</v>
      </c>
      <c r="GW8" s="25">
        <f t="shared" si="47"/>
        <v>0</v>
      </c>
      <c r="GX8" s="30">
        <f t="shared" si="48"/>
        <v>0</v>
      </c>
      <c r="GY8" s="30">
        <f t="shared" si="49"/>
        <v>0</v>
      </c>
      <c r="GZ8" s="30">
        <f t="shared" si="50"/>
        <v>-18756.89534</v>
      </c>
      <c r="HA8" s="30">
        <f t="shared" si="51"/>
        <v>-18756.89534</v>
      </c>
      <c r="HB8" s="30">
        <f t="shared" si="52"/>
        <v>-18756.89534</v>
      </c>
      <c r="HC8" s="30">
        <f t="shared" si="53"/>
        <v>-18756.89534</v>
      </c>
      <c r="HD8" s="30">
        <f t="shared" si="54"/>
        <v>-18756.89534</v>
      </c>
      <c r="HE8" s="30">
        <f t="shared" si="55"/>
        <v>-18756.89534</v>
      </c>
      <c r="HF8" s="30">
        <f t="shared" si="56"/>
        <v>-18756.89534</v>
      </c>
      <c r="HG8" s="30">
        <f t="shared" si="57"/>
        <v>-131298.2674</v>
      </c>
      <c r="HH8" s="30">
        <f t="shared" si="58"/>
        <v>-93784.47669</v>
      </c>
      <c r="HI8" s="27" t="str">
        <f t="shared" si="59"/>
        <v>#REF!</v>
      </c>
      <c r="HJ8" s="12"/>
      <c r="HK8" s="12">
        <v>0.0</v>
      </c>
      <c r="HL8" s="12">
        <v>0.0</v>
      </c>
      <c r="HM8" s="25" t="str">
        <f t="shared" si="60"/>
        <v>JUN</v>
      </c>
      <c r="HN8" s="12" t="str">
        <f t="shared" si="61"/>
        <v/>
      </c>
    </row>
    <row r="9" ht="13.5" customHeight="1">
      <c r="A9" s="12" t="str">
        <f t="shared" si="2"/>
        <v>152794</v>
      </c>
      <c r="B9" s="31" t="s">
        <v>0</v>
      </c>
      <c r="C9" s="32" t="s">
        <v>94</v>
      </c>
      <c r="D9" s="32" t="s">
        <v>95</v>
      </c>
      <c r="E9" s="33">
        <v>152794.0</v>
      </c>
      <c r="F9" s="31" t="s">
        <v>115</v>
      </c>
      <c r="G9" s="31" t="s">
        <v>97</v>
      </c>
      <c r="H9" s="34">
        <v>3069.0</v>
      </c>
      <c r="I9" s="31" t="s">
        <v>98</v>
      </c>
      <c r="J9" s="31" t="s">
        <v>103</v>
      </c>
      <c r="K9" s="34">
        <v>641900.0</v>
      </c>
      <c r="L9" s="17">
        <f t="shared" si="3"/>
        <v>783118</v>
      </c>
      <c r="M9" s="35">
        <v>1.22</v>
      </c>
      <c r="N9" s="31">
        <v>1.22</v>
      </c>
      <c r="O9" s="17">
        <f t="shared" si="4"/>
        <v>783118</v>
      </c>
      <c r="P9" s="36" t="s">
        <v>104</v>
      </c>
      <c r="Q9" s="37">
        <v>1.3888301368043565</v>
      </c>
      <c r="R9" s="38">
        <f t="shared" si="5"/>
        <v>891490.0648</v>
      </c>
      <c r="S9" s="36">
        <f t="shared" si="6"/>
        <v>74290.83873</v>
      </c>
      <c r="T9" s="36">
        <f t="shared" si="7"/>
        <v>108372.0648</v>
      </c>
      <c r="U9" s="39">
        <f t="shared" si="8"/>
        <v>0.138385358</v>
      </c>
      <c r="V9" s="21">
        <v>1.508974319267002</v>
      </c>
      <c r="W9" s="17">
        <f t="shared" si="9"/>
        <v>968610.6155</v>
      </c>
      <c r="X9" s="36">
        <f t="shared" si="10"/>
        <v>80717.55129</v>
      </c>
      <c r="Y9" s="17">
        <f t="shared" si="11"/>
        <v>185492.6155</v>
      </c>
      <c r="Z9" s="20">
        <f t="shared" si="12"/>
        <v>0.2368641961</v>
      </c>
      <c r="AA9" s="40">
        <v>0.12</v>
      </c>
      <c r="AB9" s="35">
        <f t="shared" si="13"/>
        <v>1.22217052</v>
      </c>
      <c r="AC9" s="35">
        <f t="shared" si="14"/>
        <v>784511.257</v>
      </c>
      <c r="AD9" s="35">
        <f t="shared" si="15"/>
        <v>-106978.8078</v>
      </c>
      <c r="AE9" s="41">
        <f t="shared" si="16"/>
        <v>-0.12</v>
      </c>
      <c r="AF9" s="18">
        <f t="shared" si="17"/>
        <v>-184099.3585</v>
      </c>
      <c r="AG9" s="24">
        <f t="shared" si="18"/>
        <v>-0.1900653942</v>
      </c>
      <c r="AH9" s="31" t="s">
        <v>105</v>
      </c>
      <c r="AI9" s="31"/>
      <c r="AJ9" s="33" t="str">
        <f t="shared" si="19"/>
        <v>BD COLETA</v>
      </c>
      <c r="AK9" s="35">
        <f t="shared" si="20"/>
        <v>1.22</v>
      </c>
      <c r="AL9" s="17">
        <f t="shared" si="21"/>
        <v>783118</v>
      </c>
      <c r="AM9" s="17">
        <f t="shared" si="22"/>
        <v>-185492.6155</v>
      </c>
      <c r="AN9" s="20">
        <f t="shared" si="23"/>
        <v>-0.191503802</v>
      </c>
      <c r="AO9" s="35"/>
      <c r="AP9" s="35"/>
      <c r="AQ9" s="35"/>
      <c r="AR9" s="35">
        <v>1.22</v>
      </c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18"/>
      <c r="BT9" s="18"/>
      <c r="BU9" s="25"/>
      <c r="BV9" s="25"/>
      <c r="BW9" s="25"/>
      <c r="BX9" s="25"/>
      <c r="BY9" s="25"/>
      <c r="BZ9" s="25"/>
      <c r="CA9" s="25"/>
      <c r="CB9" s="26"/>
      <c r="CC9" s="26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25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25" t="str">
        <f t="shared" ref="FN9:FY9" si="67">$AD9*#REF!</f>
        <v>#REF!</v>
      </c>
      <c r="FO9" s="25" t="str">
        <f t="shared" si="67"/>
        <v>#REF!</v>
      </c>
      <c r="FP9" s="25" t="str">
        <f t="shared" si="67"/>
        <v>#REF!</v>
      </c>
      <c r="FQ9" s="25" t="str">
        <f t="shared" si="67"/>
        <v>#REF!</v>
      </c>
      <c r="FR9" s="25" t="str">
        <f t="shared" si="67"/>
        <v>#REF!</v>
      </c>
      <c r="FS9" s="25" t="str">
        <f t="shared" si="67"/>
        <v>#REF!</v>
      </c>
      <c r="FT9" s="25" t="str">
        <f t="shared" si="67"/>
        <v>#REF!</v>
      </c>
      <c r="FU9" s="25" t="str">
        <f t="shared" si="67"/>
        <v>#REF!</v>
      </c>
      <c r="FV9" s="25" t="str">
        <f t="shared" si="67"/>
        <v>#REF!</v>
      </c>
      <c r="FW9" s="25" t="str">
        <f t="shared" si="67"/>
        <v>#REF!</v>
      </c>
      <c r="FX9" s="25" t="str">
        <f t="shared" si="67"/>
        <v>#REF!</v>
      </c>
      <c r="FY9" s="25" t="str">
        <f t="shared" si="67"/>
        <v>#REF!</v>
      </c>
      <c r="FZ9" s="25" t="str">
        <f t="shared" si="25"/>
        <v>#REF!</v>
      </c>
      <c r="GA9" s="25" t="str">
        <f t="shared" si="26"/>
        <v>#REF!</v>
      </c>
      <c r="GB9" s="25" t="s">
        <v>76</v>
      </c>
      <c r="GC9" s="25">
        <f t="shared" si="27"/>
        <v>0</v>
      </c>
      <c r="GD9" s="25">
        <f t="shared" si="28"/>
        <v>0</v>
      </c>
      <c r="GE9" s="25">
        <f t="shared" si="29"/>
        <v>0</v>
      </c>
      <c r="GF9" s="25">
        <f t="shared" si="30"/>
        <v>0</v>
      </c>
      <c r="GG9" s="25">
        <f t="shared" si="31"/>
        <v>0</v>
      </c>
      <c r="GH9" s="25">
        <f t="shared" si="32"/>
        <v>-15457.71796</v>
      </c>
      <c r="GI9" s="25">
        <f t="shared" si="33"/>
        <v>-15457.71796</v>
      </c>
      <c r="GJ9" s="25">
        <f t="shared" si="34"/>
        <v>-15457.71796</v>
      </c>
      <c r="GK9" s="25">
        <f t="shared" si="35"/>
        <v>-15457.71796</v>
      </c>
      <c r="GL9" s="25">
        <f t="shared" si="36"/>
        <v>-15457.71796</v>
      </c>
      <c r="GM9" s="25">
        <f t="shared" si="37"/>
        <v>-15457.71796</v>
      </c>
      <c r="GN9" s="25">
        <f t="shared" si="38"/>
        <v>-15457.71796</v>
      </c>
      <c r="GO9" s="25">
        <f t="shared" si="39"/>
        <v>-108204.0257</v>
      </c>
      <c r="GP9" s="25">
        <f t="shared" si="40"/>
        <v>-77288.58981</v>
      </c>
      <c r="GQ9" s="27" t="str">
        <f t="shared" si="41"/>
        <v>#REF!</v>
      </c>
      <c r="GR9" s="28">
        <f t="shared" si="42"/>
        <v>-185492.6155</v>
      </c>
      <c r="GS9" s="29">
        <f t="shared" si="43"/>
        <v>-0.191503802</v>
      </c>
      <c r="GT9" s="25" t="str">
        <f t="shared" si="44"/>
        <v>JUN</v>
      </c>
      <c r="GU9" s="25">
        <f t="shared" si="45"/>
        <v>0</v>
      </c>
      <c r="GV9" s="25">
        <f t="shared" si="46"/>
        <v>0</v>
      </c>
      <c r="GW9" s="25">
        <f t="shared" si="47"/>
        <v>0</v>
      </c>
      <c r="GX9" s="30">
        <f t="shared" si="48"/>
        <v>0</v>
      </c>
      <c r="GY9" s="30">
        <f t="shared" si="49"/>
        <v>0</v>
      </c>
      <c r="GZ9" s="30">
        <f t="shared" si="50"/>
        <v>-15457.71796</v>
      </c>
      <c r="HA9" s="30">
        <f t="shared" si="51"/>
        <v>-15457.71796</v>
      </c>
      <c r="HB9" s="30">
        <f t="shared" si="52"/>
        <v>-15457.71796</v>
      </c>
      <c r="HC9" s="30">
        <f t="shared" si="53"/>
        <v>-15457.71796</v>
      </c>
      <c r="HD9" s="30">
        <f t="shared" si="54"/>
        <v>-15457.71796</v>
      </c>
      <c r="HE9" s="30">
        <f t="shared" si="55"/>
        <v>-15457.71796</v>
      </c>
      <c r="HF9" s="30">
        <f t="shared" si="56"/>
        <v>-15457.71796</v>
      </c>
      <c r="HG9" s="30">
        <f t="shared" si="57"/>
        <v>-108204.0257</v>
      </c>
      <c r="HH9" s="30">
        <f t="shared" si="58"/>
        <v>-77288.58981</v>
      </c>
      <c r="HI9" s="27" t="str">
        <f t="shared" si="59"/>
        <v>#REF!</v>
      </c>
      <c r="HJ9" s="12"/>
      <c r="HK9" s="12">
        <v>1.0</v>
      </c>
      <c r="HL9" s="12">
        <v>1.0</v>
      </c>
      <c r="HM9" s="25" t="str">
        <f t="shared" si="60"/>
        <v>JUN</v>
      </c>
      <c r="HN9" s="12" t="str">
        <f t="shared" si="61"/>
        <v/>
      </c>
    </row>
    <row r="10" ht="13.5" customHeight="1">
      <c r="A10" s="12" t="str">
        <f t="shared" si="2"/>
        <v>197223</v>
      </c>
      <c r="B10" s="31" t="s">
        <v>0</v>
      </c>
      <c r="C10" s="32" t="s">
        <v>94</v>
      </c>
      <c r="D10" s="32" t="s">
        <v>110</v>
      </c>
      <c r="E10" s="33">
        <v>197223.0</v>
      </c>
      <c r="F10" s="31" t="s">
        <v>116</v>
      </c>
      <c r="G10" s="31" t="s">
        <v>117</v>
      </c>
      <c r="H10" s="34">
        <v>2245.0</v>
      </c>
      <c r="I10" s="31" t="s">
        <v>118</v>
      </c>
      <c r="J10" s="31" t="s">
        <v>104</v>
      </c>
      <c r="K10" s="34">
        <v>203100.0</v>
      </c>
      <c r="L10" s="17">
        <f t="shared" si="3"/>
        <v>761625</v>
      </c>
      <c r="M10" s="35">
        <v>3.75</v>
      </c>
      <c r="N10" s="31">
        <v>3.57</v>
      </c>
      <c r="O10" s="17">
        <f t="shared" si="4"/>
        <v>725067</v>
      </c>
      <c r="P10" s="36" t="s">
        <v>104</v>
      </c>
      <c r="Q10" s="37">
        <v>4.0070957514267596</v>
      </c>
      <c r="R10" s="38">
        <f t="shared" si="5"/>
        <v>813841.1471</v>
      </c>
      <c r="S10" s="36">
        <f t="shared" si="6"/>
        <v>67820.09559</v>
      </c>
      <c r="T10" s="36">
        <f t="shared" si="7"/>
        <v>52216.14711</v>
      </c>
      <c r="U10" s="39">
        <f t="shared" si="8"/>
        <v>0.06855886705</v>
      </c>
      <c r="V10" s="21">
        <v>4.091477108518662</v>
      </c>
      <c r="W10" s="17">
        <f t="shared" si="9"/>
        <v>830979.0007</v>
      </c>
      <c r="X10" s="36">
        <f t="shared" si="10"/>
        <v>69248.25006</v>
      </c>
      <c r="Y10" s="17">
        <f t="shared" si="11"/>
        <v>69354.00074</v>
      </c>
      <c r="Z10" s="20">
        <f t="shared" si="12"/>
        <v>0.09106056227</v>
      </c>
      <c r="AA10" s="40">
        <v>0.12</v>
      </c>
      <c r="AB10" s="35">
        <f t="shared" si="13"/>
        <v>3.526244261</v>
      </c>
      <c r="AC10" s="35">
        <f t="shared" si="14"/>
        <v>716180.2095</v>
      </c>
      <c r="AD10" s="35">
        <f t="shared" si="15"/>
        <v>-97660.93765</v>
      </c>
      <c r="AE10" s="41">
        <f t="shared" si="16"/>
        <v>-0.12</v>
      </c>
      <c r="AF10" s="18">
        <f t="shared" si="17"/>
        <v>-114798.7913</v>
      </c>
      <c r="AG10" s="24">
        <f t="shared" si="18"/>
        <v>-0.1381488475</v>
      </c>
      <c r="AH10" s="31" t="s">
        <v>105</v>
      </c>
      <c r="AI10" s="31"/>
      <c r="AJ10" s="33" t="str">
        <f t="shared" si="19"/>
        <v>BD COLETA</v>
      </c>
      <c r="AK10" s="35">
        <f t="shared" si="20"/>
        <v>3.39</v>
      </c>
      <c r="AL10" s="17">
        <f t="shared" si="21"/>
        <v>688509</v>
      </c>
      <c r="AM10" s="17">
        <f t="shared" si="22"/>
        <v>-142470.0007</v>
      </c>
      <c r="AN10" s="20">
        <f t="shared" si="23"/>
        <v>-0.1714483767</v>
      </c>
      <c r="AO10" s="35"/>
      <c r="AP10" s="35"/>
      <c r="AQ10" s="35"/>
      <c r="AR10" s="35">
        <v>3.39</v>
      </c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>
        <v>3.68</v>
      </c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18"/>
      <c r="BT10" s="18"/>
      <c r="BU10" s="25"/>
      <c r="BV10" s="25"/>
      <c r="BW10" s="25"/>
      <c r="BX10" s="25"/>
      <c r="BY10" s="25">
        <v>10.54</v>
      </c>
      <c r="BZ10" s="25" t="s">
        <v>119</v>
      </c>
      <c r="CA10" s="25"/>
      <c r="CB10" s="26"/>
      <c r="CC10" s="26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25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25" t="str">
        <f t="shared" ref="FN10:FY10" si="68">$AD10*#REF!</f>
        <v>#REF!</v>
      </c>
      <c r="FO10" s="25" t="str">
        <f t="shared" si="68"/>
        <v>#REF!</v>
      </c>
      <c r="FP10" s="25" t="str">
        <f t="shared" si="68"/>
        <v>#REF!</v>
      </c>
      <c r="FQ10" s="25" t="str">
        <f t="shared" si="68"/>
        <v>#REF!</v>
      </c>
      <c r="FR10" s="25" t="str">
        <f t="shared" si="68"/>
        <v>#REF!</v>
      </c>
      <c r="FS10" s="25" t="str">
        <f t="shared" si="68"/>
        <v>#REF!</v>
      </c>
      <c r="FT10" s="25" t="str">
        <f t="shared" si="68"/>
        <v>#REF!</v>
      </c>
      <c r="FU10" s="25" t="str">
        <f t="shared" si="68"/>
        <v>#REF!</v>
      </c>
      <c r="FV10" s="25" t="str">
        <f t="shared" si="68"/>
        <v>#REF!</v>
      </c>
      <c r="FW10" s="25" t="str">
        <f t="shared" si="68"/>
        <v>#REF!</v>
      </c>
      <c r="FX10" s="25" t="str">
        <f t="shared" si="68"/>
        <v>#REF!</v>
      </c>
      <c r="FY10" s="25" t="str">
        <f t="shared" si="68"/>
        <v>#REF!</v>
      </c>
      <c r="FZ10" s="25" t="str">
        <f t="shared" si="25"/>
        <v>#REF!</v>
      </c>
      <c r="GA10" s="25" t="str">
        <f t="shared" si="26"/>
        <v>#REF!</v>
      </c>
      <c r="GB10" s="25" t="s">
        <v>76</v>
      </c>
      <c r="GC10" s="25">
        <f t="shared" si="27"/>
        <v>0</v>
      </c>
      <c r="GD10" s="25">
        <f t="shared" si="28"/>
        <v>0</v>
      </c>
      <c r="GE10" s="25">
        <f t="shared" si="29"/>
        <v>0</v>
      </c>
      <c r="GF10" s="25">
        <f t="shared" si="30"/>
        <v>0</v>
      </c>
      <c r="GG10" s="25">
        <f t="shared" si="31"/>
        <v>0</v>
      </c>
      <c r="GH10" s="25">
        <f t="shared" si="32"/>
        <v>-11872.50006</v>
      </c>
      <c r="GI10" s="25">
        <f t="shared" si="33"/>
        <v>-11872.50006</v>
      </c>
      <c r="GJ10" s="25">
        <f t="shared" si="34"/>
        <v>-11872.50006</v>
      </c>
      <c r="GK10" s="25">
        <f t="shared" si="35"/>
        <v>-11872.50006</v>
      </c>
      <c r="GL10" s="25">
        <f t="shared" si="36"/>
        <v>-11872.50006</v>
      </c>
      <c r="GM10" s="25">
        <f t="shared" si="37"/>
        <v>-11872.50006</v>
      </c>
      <c r="GN10" s="25">
        <f t="shared" si="38"/>
        <v>-11872.50006</v>
      </c>
      <c r="GO10" s="25">
        <f t="shared" si="39"/>
        <v>-83107.50043</v>
      </c>
      <c r="GP10" s="25">
        <f t="shared" si="40"/>
        <v>-59362.50031</v>
      </c>
      <c r="GQ10" s="27" t="str">
        <f t="shared" si="41"/>
        <v>#REF!</v>
      </c>
      <c r="GR10" s="28">
        <f t="shared" si="42"/>
        <v>-142470.0007</v>
      </c>
      <c r="GS10" s="29">
        <f t="shared" si="43"/>
        <v>-0.1714483767</v>
      </c>
      <c r="GT10" s="25" t="str">
        <f t="shared" si="44"/>
        <v>JUN</v>
      </c>
      <c r="GU10" s="25">
        <f t="shared" si="45"/>
        <v>0</v>
      </c>
      <c r="GV10" s="25">
        <f t="shared" si="46"/>
        <v>0</v>
      </c>
      <c r="GW10" s="25">
        <f t="shared" si="47"/>
        <v>0</v>
      </c>
      <c r="GX10" s="30">
        <f t="shared" si="48"/>
        <v>0</v>
      </c>
      <c r="GY10" s="30">
        <f t="shared" si="49"/>
        <v>0</v>
      </c>
      <c r="GZ10" s="30">
        <f t="shared" si="50"/>
        <v>-11872.50006</v>
      </c>
      <c r="HA10" s="30">
        <f t="shared" si="51"/>
        <v>-11872.50006</v>
      </c>
      <c r="HB10" s="30">
        <f t="shared" si="52"/>
        <v>-11872.50006</v>
      </c>
      <c r="HC10" s="30">
        <f t="shared" si="53"/>
        <v>-11872.50006</v>
      </c>
      <c r="HD10" s="30">
        <f t="shared" si="54"/>
        <v>-11872.50006</v>
      </c>
      <c r="HE10" s="30">
        <f t="shared" si="55"/>
        <v>-11872.50006</v>
      </c>
      <c r="HF10" s="30">
        <f t="shared" si="56"/>
        <v>-11872.50006</v>
      </c>
      <c r="HG10" s="30">
        <f t="shared" si="57"/>
        <v>-83107.50043</v>
      </c>
      <c r="HH10" s="30">
        <f t="shared" si="58"/>
        <v>-59362.50031</v>
      </c>
      <c r="HI10" s="27" t="str">
        <f t="shared" si="59"/>
        <v>#REF!</v>
      </c>
      <c r="HJ10" s="12"/>
      <c r="HK10" s="12">
        <v>1.0</v>
      </c>
      <c r="HL10" s="12">
        <v>1.0</v>
      </c>
      <c r="HM10" s="25" t="str">
        <f t="shared" si="60"/>
        <v>JUN</v>
      </c>
      <c r="HN10" s="12" t="str">
        <f t="shared" si="61"/>
        <v/>
      </c>
    </row>
    <row r="11" ht="13.5" customHeight="1">
      <c r="A11" s="12" t="str">
        <f t="shared" si="2"/>
        <v>171430</v>
      </c>
      <c r="B11" s="31" t="s">
        <v>0</v>
      </c>
      <c r="C11" s="32" t="s">
        <v>94</v>
      </c>
      <c r="D11" s="32" t="s">
        <v>110</v>
      </c>
      <c r="E11" s="33">
        <v>171430.0</v>
      </c>
      <c r="F11" s="31" t="s">
        <v>111</v>
      </c>
      <c r="G11" s="31" t="s">
        <v>120</v>
      </c>
      <c r="H11" s="34">
        <v>2044.0</v>
      </c>
      <c r="I11" s="31" t="s">
        <v>121</v>
      </c>
      <c r="J11" s="31" t="s">
        <v>103</v>
      </c>
      <c r="K11" s="34">
        <v>228450.0</v>
      </c>
      <c r="L11" s="17">
        <f t="shared" si="3"/>
        <v>630522</v>
      </c>
      <c r="M11" s="35">
        <v>2.76</v>
      </c>
      <c r="N11" s="31">
        <v>2.3</v>
      </c>
      <c r="O11" s="17">
        <f t="shared" si="4"/>
        <v>525435</v>
      </c>
      <c r="P11" s="36" t="s">
        <v>104</v>
      </c>
      <c r="Q11" s="37">
        <v>2.863049189491336</v>
      </c>
      <c r="R11" s="38">
        <f t="shared" si="5"/>
        <v>654063.5873</v>
      </c>
      <c r="S11" s="36">
        <f t="shared" si="6"/>
        <v>54505.29894</v>
      </c>
      <c r="T11" s="36">
        <f t="shared" si="7"/>
        <v>23541.58734</v>
      </c>
      <c r="U11" s="39">
        <f t="shared" si="8"/>
        <v>0.03733666286</v>
      </c>
      <c r="V11" s="21">
        <v>2.863337992253067</v>
      </c>
      <c r="W11" s="17">
        <f t="shared" si="9"/>
        <v>654129.5643</v>
      </c>
      <c r="X11" s="36">
        <f t="shared" si="10"/>
        <v>54510.79703</v>
      </c>
      <c r="Y11" s="17">
        <f t="shared" si="11"/>
        <v>23607.56433</v>
      </c>
      <c r="Z11" s="20">
        <f t="shared" si="12"/>
        <v>0.03744130154</v>
      </c>
      <c r="AA11" s="40">
        <v>0.12</v>
      </c>
      <c r="AB11" s="35">
        <f t="shared" si="13"/>
        <v>2.519483287</v>
      </c>
      <c r="AC11" s="35">
        <f t="shared" si="14"/>
        <v>575575.9569</v>
      </c>
      <c r="AD11" s="35">
        <f t="shared" si="15"/>
        <v>-78487.63048</v>
      </c>
      <c r="AE11" s="41">
        <f t="shared" si="16"/>
        <v>-0.12</v>
      </c>
      <c r="AF11" s="18">
        <f t="shared" si="17"/>
        <v>-78553.60747</v>
      </c>
      <c r="AG11" s="24">
        <f t="shared" si="18"/>
        <v>-0.1200887588</v>
      </c>
      <c r="AH11" s="31" t="s">
        <v>105</v>
      </c>
      <c r="AI11" s="31"/>
      <c r="AJ11" s="33" t="str">
        <f t="shared" si="19"/>
        <v>BD COLETA</v>
      </c>
      <c r="AK11" s="35">
        <f t="shared" si="20"/>
        <v>2.12</v>
      </c>
      <c r="AL11" s="17">
        <f t="shared" si="21"/>
        <v>484314</v>
      </c>
      <c r="AM11" s="17">
        <f t="shared" si="22"/>
        <v>-169815.5643</v>
      </c>
      <c r="AN11" s="20">
        <f t="shared" si="23"/>
        <v>-0.2596053956</v>
      </c>
      <c r="AO11" s="35"/>
      <c r="AP11" s="35"/>
      <c r="AQ11" s="35"/>
      <c r="AR11" s="35">
        <v>2.12</v>
      </c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18"/>
      <c r="BT11" s="18"/>
      <c r="BU11" s="25"/>
      <c r="BV11" s="25"/>
      <c r="BW11" s="25"/>
      <c r="BX11" s="25"/>
      <c r="BY11" s="25"/>
      <c r="BZ11" s="25"/>
      <c r="CA11" s="25"/>
      <c r="CB11" s="26"/>
      <c r="CC11" s="26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25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25" t="str">
        <f t="shared" ref="FN11:FY11" si="69">$AD11*#REF!</f>
        <v>#REF!</v>
      </c>
      <c r="FO11" s="25" t="str">
        <f t="shared" si="69"/>
        <v>#REF!</v>
      </c>
      <c r="FP11" s="25" t="str">
        <f t="shared" si="69"/>
        <v>#REF!</v>
      </c>
      <c r="FQ11" s="25" t="str">
        <f t="shared" si="69"/>
        <v>#REF!</v>
      </c>
      <c r="FR11" s="25" t="str">
        <f t="shared" si="69"/>
        <v>#REF!</v>
      </c>
      <c r="FS11" s="25" t="str">
        <f t="shared" si="69"/>
        <v>#REF!</v>
      </c>
      <c r="FT11" s="25" t="str">
        <f t="shared" si="69"/>
        <v>#REF!</v>
      </c>
      <c r="FU11" s="25" t="str">
        <f t="shared" si="69"/>
        <v>#REF!</v>
      </c>
      <c r="FV11" s="25" t="str">
        <f t="shared" si="69"/>
        <v>#REF!</v>
      </c>
      <c r="FW11" s="25" t="str">
        <f t="shared" si="69"/>
        <v>#REF!</v>
      </c>
      <c r="FX11" s="25" t="str">
        <f t="shared" si="69"/>
        <v>#REF!</v>
      </c>
      <c r="FY11" s="25" t="str">
        <f t="shared" si="69"/>
        <v>#REF!</v>
      </c>
      <c r="FZ11" s="25" t="str">
        <f t="shared" si="25"/>
        <v>#REF!</v>
      </c>
      <c r="GA11" s="25" t="str">
        <f t="shared" si="26"/>
        <v>#REF!</v>
      </c>
      <c r="GB11" s="25" t="s">
        <v>76</v>
      </c>
      <c r="GC11" s="25">
        <f t="shared" si="27"/>
        <v>0</v>
      </c>
      <c r="GD11" s="25">
        <f t="shared" si="28"/>
        <v>0</v>
      </c>
      <c r="GE11" s="25">
        <f t="shared" si="29"/>
        <v>0</v>
      </c>
      <c r="GF11" s="25">
        <f t="shared" si="30"/>
        <v>0</v>
      </c>
      <c r="GG11" s="25">
        <f t="shared" si="31"/>
        <v>0</v>
      </c>
      <c r="GH11" s="25">
        <f t="shared" si="32"/>
        <v>-14151.29703</v>
      </c>
      <c r="GI11" s="25">
        <f t="shared" si="33"/>
        <v>-14151.29703</v>
      </c>
      <c r="GJ11" s="25">
        <f t="shared" si="34"/>
        <v>-14151.29703</v>
      </c>
      <c r="GK11" s="25">
        <f t="shared" si="35"/>
        <v>-14151.29703</v>
      </c>
      <c r="GL11" s="25">
        <f t="shared" si="36"/>
        <v>-14151.29703</v>
      </c>
      <c r="GM11" s="25">
        <f t="shared" si="37"/>
        <v>-14151.29703</v>
      </c>
      <c r="GN11" s="25">
        <f t="shared" si="38"/>
        <v>-14151.29703</v>
      </c>
      <c r="GO11" s="25">
        <f t="shared" si="39"/>
        <v>-99059.07919</v>
      </c>
      <c r="GP11" s="25">
        <f t="shared" si="40"/>
        <v>-70756.48514</v>
      </c>
      <c r="GQ11" s="27" t="str">
        <f t="shared" si="41"/>
        <v>#REF!</v>
      </c>
      <c r="GR11" s="28">
        <f t="shared" si="42"/>
        <v>-169815.5643</v>
      </c>
      <c r="GS11" s="29">
        <f t="shared" si="43"/>
        <v>-0.2596053956</v>
      </c>
      <c r="GT11" s="25" t="str">
        <f t="shared" si="44"/>
        <v>JUN</v>
      </c>
      <c r="GU11" s="25">
        <f t="shared" si="45"/>
        <v>0</v>
      </c>
      <c r="GV11" s="25">
        <f t="shared" si="46"/>
        <v>0</v>
      </c>
      <c r="GW11" s="25">
        <f t="shared" si="47"/>
        <v>0</v>
      </c>
      <c r="GX11" s="30">
        <f t="shared" si="48"/>
        <v>0</v>
      </c>
      <c r="GY11" s="30">
        <f t="shared" si="49"/>
        <v>0</v>
      </c>
      <c r="GZ11" s="30">
        <f t="shared" si="50"/>
        <v>-14151.29703</v>
      </c>
      <c r="HA11" s="30">
        <f t="shared" si="51"/>
        <v>-14151.29703</v>
      </c>
      <c r="HB11" s="30">
        <f t="shared" si="52"/>
        <v>-14151.29703</v>
      </c>
      <c r="HC11" s="30">
        <f t="shared" si="53"/>
        <v>-14151.29703</v>
      </c>
      <c r="HD11" s="30">
        <f t="shared" si="54"/>
        <v>-14151.29703</v>
      </c>
      <c r="HE11" s="30">
        <f t="shared" si="55"/>
        <v>-14151.29703</v>
      </c>
      <c r="HF11" s="30">
        <f t="shared" si="56"/>
        <v>-14151.29703</v>
      </c>
      <c r="HG11" s="30">
        <f t="shared" si="57"/>
        <v>-99059.07919</v>
      </c>
      <c r="HH11" s="30">
        <f t="shared" si="58"/>
        <v>-70756.48514</v>
      </c>
      <c r="HI11" s="27" t="str">
        <f t="shared" si="59"/>
        <v>#REF!</v>
      </c>
      <c r="HJ11" s="12"/>
      <c r="HK11" s="12">
        <v>0.0</v>
      </c>
      <c r="HL11" s="12">
        <v>0.0</v>
      </c>
      <c r="HM11" s="25" t="str">
        <f t="shared" si="60"/>
        <v>JUN</v>
      </c>
      <c r="HN11" s="12" t="str">
        <f t="shared" si="61"/>
        <v/>
      </c>
    </row>
    <row r="12" ht="13.5" customHeight="1">
      <c r="A12" s="12" t="str">
        <f t="shared" si="2"/>
        <v>197223</v>
      </c>
      <c r="B12" s="31" t="s">
        <v>0</v>
      </c>
      <c r="C12" s="32" t="s">
        <v>94</v>
      </c>
      <c r="D12" s="32" t="s">
        <v>110</v>
      </c>
      <c r="E12" s="33">
        <v>197223.0</v>
      </c>
      <c r="F12" s="31" t="s">
        <v>116</v>
      </c>
      <c r="G12" s="31" t="s">
        <v>122</v>
      </c>
      <c r="H12" s="34">
        <v>2235.0</v>
      </c>
      <c r="I12" s="31" t="s">
        <v>123</v>
      </c>
      <c r="J12" s="31" t="s">
        <v>104</v>
      </c>
      <c r="K12" s="34">
        <v>130050.0</v>
      </c>
      <c r="L12" s="17">
        <f t="shared" si="3"/>
        <v>487687.5</v>
      </c>
      <c r="M12" s="35">
        <v>3.75</v>
      </c>
      <c r="N12" s="31">
        <v>3.57</v>
      </c>
      <c r="O12" s="17">
        <f t="shared" si="4"/>
        <v>464278.5</v>
      </c>
      <c r="P12" s="36" t="s">
        <v>104</v>
      </c>
      <c r="Q12" s="37">
        <v>4.0070957514267596</v>
      </c>
      <c r="R12" s="38">
        <f t="shared" si="5"/>
        <v>521122.8025</v>
      </c>
      <c r="S12" s="36">
        <f t="shared" si="6"/>
        <v>43426.90021</v>
      </c>
      <c r="T12" s="36">
        <f t="shared" si="7"/>
        <v>33435.30247</v>
      </c>
      <c r="U12" s="39">
        <f t="shared" si="8"/>
        <v>0.06855886705</v>
      </c>
      <c r="V12" s="21">
        <v>4.091477108518662</v>
      </c>
      <c r="W12" s="17">
        <f t="shared" si="9"/>
        <v>532096.598</v>
      </c>
      <c r="X12" s="36">
        <f t="shared" si="10"/>
        <v>44341.38316</v>
      </c>
      <c r="Y12" s="17">
        <f t="shared" si="11"/>
        <v>44409.09796</v>
      </c>
      <c r="Z12" s="20">
        <f t="shared" si="12"/>
        <v>0.09106056227</v>
      </c>
      <c r="AA12" s="40">
        <v>0.12</v>
      </c>
      <c r="AB12" s="35">
        <f t="shared" si="13"/>
        <v>3.526244261</v>
      </c>
      <c r="AC12" s="35">
        <f t="shared" si="14"/>
        <v>458588.0662</v>
      </c>
      <c r="AD12" s="35">
        <f t="shared" si="15"/>
        <v>-62534.7363</v>
      </c>
      <c r="AE12" s="41">
        <f t="shared" si="16"/>
        <v>-0.12</v>
      </c>
      <c r="AF12" s="18">
        <f t="shared" si="17"/>
        <v>-73508.53179</v>
      </c>
      <c r="AG12" s="24">
        <f t="shared" si="18"/>
        <v>-0.1381488475</v>
      </c>
      <c r="AH12" s="31" t="s">
        <v>105</v>
      </c>
      <c r="AI12" s="31"/>
      <c r="AJ12" s="33" t="str">
        <f t="shared" si="19"/>
        <v>BD COLETA</v>
      </c>
      <c r="AK12" s="35">
        <f t="shared" si="20"/>
        <v>3.39</v>
      </c>
      <c r="AL12" s="17">
        <f t="shared" si="21"/>
        <v>440869.5</v>
      </c>
      <c r="AM12" s="17">
        <f t="shared" si="22"/>
        <v>-91227.09796</v>
      </c>
      <c r="AN12" s="20">
        <f t="shared" si="23"/>
        <v>-0.1714483767</v>
      </c>
      <c r="AO12" s="35"/>
      <c r="AP12" s="35"/>
      <c r="AQ12" s="35"/>
      <c r="AR12" s="35">
        <v>3.39</v>
      </c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>
        <v>3.68</v>
      </c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18"/>
      <c r="BT12" s="18"/>
      <c r="BU12" s="25"/>
      <c r="BV12" s="25"/>
      <c r="BW12" s="25"/>
      <c r="BX12" s="25"/>
      <c r="BY12" s="25">
        <v>10.54</v>
      </c>
      <c r="BZ12" s="25" t="s">
        <v>119</v>
      </c>
      <c r="CA12" s="25"/>
      <c r="CB12" s="26"/>
      <c r="CC12" s="26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25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25" t="str">
        <f t="shared" ref="FN12:FY12" si="70">$AD12*#REF!</f>
        <v>#REF!</v>
      </c>
      <c r="FO12" s="25" t="str">
        <f t="shared" si="70"/>
        <v>#REF!</v>
      </c>
      <c r="FP12" s="25" t="str">
        <f t="shared" si="70"/>
        <v>#REF!</v>
      </c>
      <c r="FQ12" s="25" t="str">
        <f t="shared" si="70"/>
        <v>#REF!</v>
      </c>
      <c r="FR12" s="25" t="str">
        <f t="shared" si="70"/>
        <v>#REF!</v>
      </c>
      <c r="FS12" s="25" t="str">
        <f t="shared" si="70"/>
        <v>#REF!</v>
      </c>
      <c r="FT12" s="25" t="str">
        <f t="shared" si="70"/>
        <v>#REF!</v>
      </c>
      <c r="FU12" s="25" t="str">
        <f t="shared" si="70"/>
        <v>#REF!</v>
      </c>
      <c r="FV12" s="25" t="str">
        <f t="shared" si="70"/>
        <v>#REF!</v>
      </c>
      <c r="FW12" s="25" t="str">
        <f t="shared" si="70"/>
        <v>#REF!</v>
      </c>
      <c r="FX12" s="25" t="str">
        <f t="shared" si="70"/>
        <v>#REF!</v>
      </c>
      <c r="FY12" s="25" t="str">
        <f t="shared" si="70"/>
        <v>#REF!</v>
      </c>
      <c r="FZ12" s="25" t="str">
        <f t="shared" si="25"/>
        <v>#REF!</v>
      </c>
      <c r="GA12" s="25" t="str">
        <f t="shared" si="26"/>
        <v>#REF!</v>
      </c>
      <c r="GB12" s="25" t="s">
        <v>76</v>
      </c>
      <c r="GC12" s="25">
        <f t="shared" si="27"/>
        <v>0</v>
      </c>
      <c r="GD12" s="25">
        <f t="shared" si="28"/>
        <v>0</v>
      </c>
      <c r="GE12" s="25">
        <f t="shared" si="29"/>
        <v>0</v>
      </c>
      <c r="GF12" s="25">
        <f t="shared" si="30"/>
        <v>0</v>
      </c>
      <c r="GG12" s="25">
        <f t="shared" si="31"/>
        <v>0</v>
      </c>
      <c r="GH12" s="25">
        <f t="shared" si="32"/>
        <v>-7602.258164</v>
      </c>
      <c r="GI12" s="25">
        <f t="shared" si="33"/>
        <v>-7602.258164</v>
      </c>
      <c r="GJ12" s="25">
        <f t="shared" si="34"/>
        <v>-7602.258164</v>
      </c>
      <c r="GK12" s="25">
        <f t="shared" si="35"/>
        <v>-7602.258164</v>
      </c>
      <c r="GL12" s="25">
        <f t="shared" si="36"/>
        <v>-7602.258164</v>
      </c>
      <c r="GM12" s="25">
        <f t="shared" si="37"/>
        <v>-7602.258164</v>
      </c>
      <c r="GN12" s="25">
        <f t="shared" si="38"/>
        <v>-7602.258164</v>
      </c>
      <c r="GO12" s="25">
        <f t="shared" si="39"/>
        <v>-53215.80714</v>
      </c>
      <c r="GP12" s="25">
        <f t="shared" si="40"/>
        <v>-38011.29082</v>
      </c>
      <c r="GQ12" s="27" t="str">
        <f t="shared" si="41"/>
        <v>#REF!</v>
      </c>
      <c r="GR12" s="28">
        <f t="shared" si="42"/>
        <v>-91227.09796</v>
      </c>
      <c r="GS12" s="29">
        <f t="shared" si="43"/>
        <v>-0.1714483767</v>
      </c>
      <c r="GT12" s="25" t="str">
        <f t="shared" si="44"/>
        <v>JUN</v>
      </c>
      <c r="GU12" s="25">
        <f t="shared" si="45"/>
        <v>0</v>
      </c>
      <c r="GV12" s="25">
        <f t="shared" si="46"/>
        <v>0</v>
      </c>
      <c r="GW12" s="25">
        <f t="shared" si="47"/>
        <v>0</v>
      </c>
      <c r="GX12" s="30">
        <f t="shared" si="48"/>
        <v>0</v>
      </c>
      <c r="GY12" s="30">
        <f t="shared" si="49"/>
        <v>0</v>
      </c>
      <c r="GZ12" s="30">
        <f t="shared" si="50"/>
        <v>-7602.258164</v>
      </c>
      <c r="HA12" s="30">
        <f t="shared" si="51"/>
        <v>-7602.258164</v>
      </c>
      <c r="HB12" s="30">
        <f t="shared" si="52"/>
        <v>-7602.258164</v>
      </c>
      <c r="HC12" s="30">
        <f t="shared" si="53"/>
        <v>-7602.258164</v>
      </c>
      <c r="HD12" s="30">
        <f t="shared" si="54"/>
        <v>-7602.258164</v>
      </c>
      <c r="HE12" s="30">
        <f t="shared" si="55"/>
        <v>-7602.258164</v>
      </c>
      <c r="HF12" s="30">
        <f t="shared" si="56"/>
        <v>-7602.258164</v>
      </c>
      <c r="HG12" s="30">
        <f t="shared" si="57"/>
        <v>-53215.80714</v>
      </c>
      <c r="HH12" s="30">
        <f t="shared" si="58"/>
        <v>-38011.29082</v>
      </c>
      <c r="HI12" s="27" t="str">
        <f t="shared" si="59"/>
        <v>#REF!</v>
      </c>
      <c r="HJ12" s="12"/>
      <c r="HK12" s="12">
        <v>0.0</v>
      </c>
      <c r="HL12" s="12">
        <v>0.0</v>
      </c>
      <c r="HM12" s="25" t="str">
        <f t="shared" si="60"/>
        <v>JUN</v>
      </c>
      <c r="HN12" s="12" t="str">
        <f t="shared" si="61"/>
        <v/>
      </c>
    </row>
    <row r="13" ht="13.5" customHeight="1">
      <c r="A13" s="12" t="str">
        <f t="shared" si="2"/>
        <v>212235</v>
      </c>
      <c r="B13" s="31" t="s">
        <v>0</v>
      </c>
      <c r="C13" s="32" t="s">
        <v>94</v>
      </c>
      <c r="D13" s="32" t="s">
        <v>95</v>
      </c>
      <c r="E13" s="33">
        <v>212235.0</v>
      </c>
      <c r="F13" s="31" t="s">
        <v>106</v>
      </c>
      <c r="G13" s="31" t="s">
        <v>117</v>
      </c>
      <c r="H13" s="34">
        <v>2245.0</v>
      </c>
      <c r="I13" s="31" t="s">
        <v>118</v>
      </c>
      <c r="J13" s="31" t="s">
        <v>104</v>
      </c>
      <c r="K13" s="34">
        <v>755000.0</v>
      </c>
      <c r="L13" s="17">
        <f t="shared" si="3"/>
        <v>445446.1</v>
      </c>
      <c r="M13" s="35">
        <v>0.5899948344370861</v>
      </c>
      <c r="N13" s="31">
        <v>0.64</v>
      </c>
      <c r="O13" s="17">
        <f t="shared" si="4"/>
        <v>483200</v>
      </c>
      <c r="P13" s="36" t="s">
        <v>104</v>
      </c>
      <c r="Q13" s="37">
        <v>0.6280344806957802</v>
      </c>
      <c r="R13" s="38">
        <f t="shared" si="5"/>
        <v>474166.0329</v>
      </c>
      <c r="S13" s="36">
        <f t="shared" si="6"/>
        <v>39513.83608</v>
      </c>
      <c r="T13" s="36">
        <f t="shared" si="7"/>
        <v>28719.93293</v>
      </c>
      <c r="U13" s="39">
        <f t="shared" si="8"/>
        <v>0.0644745412</v>
      </c>
      <c r="V13" s="21">
        <v>0.6375582085103213</v>
      </c>
      <c r="W13" s="17">
        <f t="shared" si="9"/>
        <v>481356.4474</v>
      </c>
      <c r="X13" s="36">
        <f t="shared" si="10"/>
        <v>40113.03729</v>
      </c>
      <c r="Y13" s="17">
        <f t="shared" si="11"/>
        <v>35910.34743</v>
      </c>
      <c r="Z13" s="20">
        <f t="shared" si="12"/>
        <v>0.08061659407</v>
      </c>
      <c r="AA13" s="40">
        <v>0.12</v>
      </c>
      <c r="AB13" s="35">
        <f t="shared" si="13"/>
        <v>0.552670343</v>
      </c>
      <c r="AC13" s="35">
        <f t="shared" si="14"/>
        <v>417266.109</v>
      </c>
      <c r="AD13" s="35">
        <f t="shared" si="15"/>
        <v>-56899.92395</v>
      </c>
      <c r="AE13" s="41">
        <f t="shared" si="16"/>
        <v>-0.12</v>
      </c>
      <c r="AF13" s="18">
        <f t="shared" si="17"/>
        <v>-64090.33845</v>
      </c>
      <c r="AG13" s="24">
        <f t="shared" si="18"/>
        <v>-0.1331452789</v>
      </c>
      <c r="AH13" s="31" t="s">
        <v>105</v>
      </c>
      <c r="AI13" s="31"/>
      <c r="AJ13" s="33" t="str">
        <f t="shared" si="19"/>
        <v>BD COLETA</v>
      </c>
      <c r="AK13" s="35">
        <f t="shared" si="20"/>
        <v>0.64</v>
      </c>
      <c r="AL13" s="17">
        <f t="shared" si="21"/>
        <v>483200</v>
      </c>
      <c r="AM13" s="17">
        <f t="shared" si="22"/>
        <v>1843.552575</v>
      </c>
      <c r="AN13" s="20">
        <f t="shared" si="23"/>
        <v>0.003829911461</v>
      </c>
      <c r="AO13" s="35"/>
      <c r="AP13" s="35"/>
      <c r="AQ13" s="35"/>
      <c r="AR13" s="35">
        <v>0.64</v>
      </c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18"/>
      <c r="BT13" s="18"/>
      <c r="BU13" s="25"/>
      <c r="BV13" s="25"/>
      <c r="BW13" s="25"/>
      <c r="BX13" s="25"/>
      <c r="BY13" s="25"/>
      <c r="BZ13" s="25"/>
      <c r="CA13" s="25"/>
      <c r="CB13" s="26"/>
      <c r="CC13" s="26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25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25" t="str">
        <f t="shared" ref="FN13:FY13" si="71">$AD13*#REF!</f>
        <v>#REF!</v>
      </c>
      <c r="FO13" s="25" t="str">
        <f t="shared" si="71"/>
        <v>#REF!</v>
      </c>
      <c r="FP13" s="25" t="str">
        <f t="shared" si="71"/>
        <v>#REF!</v>
      </c>
      <c r="FQ13" s="25" t="str">
        <f t="shared" si="71"/>
        <v>#REF!</v>
      </c>
      <c r="FR13" s="25" t="str">
        <f t="shared" si="71"/>
        <v>#REF!</v>
      </c>
      <c r="FS13" s="25" t="str">
        <f t="shared" si="71"/>
        <v>#REF!</v>
      </c>
      <c r="FT13" s="25" t="str">
        <f t="shared" si="71"/>
        <v>#REF!</v>
      </c>
      <c r="FU13" s="25" t="str">
        <f t="shared" si="71"/>
        <v>#REF!</v>
      </c>
      <c r="FV13" s="25" t="str">
        <f t="shared" si="71"/>
        <v>#REF!</v>
      </c>
      <c r="FW13" s="25" t="str">
        <f t="shared" si="71"/>
        <v>#REF!</v>
      </c>
      <c r="FX13" s="25" t="str">
        <f t="shared" si="71"/>
        <v>#REF!</v>
      </c>
      <c r="FY13" s="25" t="str">
        <f t="shared" si="71"/>
        <v>#REF!</v>
      </c>
      <c r="FZ13" s="25" t="str">
        <f t="shared" si="25"/>
        <v>#REF!</v>
      </c>
      <c r="GA13" s="25" t="str">
        <f t="shared" si="26"/>
        <v>#REF!</v>
      </c>
      <c r="GB13" s="25" t="s">
        <v>76</v>
      </c>
      <c r="GC13" s="25">
        <f t="shared" si="27"/>
        <v>0</v>
      </c>
      <c r="GD13" s="25">
        <f t="shared" si="28"/>
        <v>0</v>
      </c>
      <c r="GE13" s="25">
        <f t="shared" si="29"/>
        <v>0</v>
      </c>
      <c r="GF13" s="25">
        <f t="shared" si="30"/>
        <v>0</v>
      </c>
      <c r="GG13" s="25">
        <f t="shared" si="31"/>
        <v>0</v>
      </c>
      <c r="GH13" s="25">
        <f t="shared" si="32"/>
        <v>153.6293812</v>
      </c>
      <c r="GI13" s="25">
        <f t="shared" si="33"/>
        <v>153.6293812</v>
      </c>
      <c r="GJ13" s="25">
        <f t="shared" si="34"/>
        <v>153.6293812</v>
      </c>
      <c r="GK13" s="25">
        <f t="shared" si="35"/>
        <v>153.6293812</v>
      </c>
      <c r="GL13" s="25">
        <f t="shared" si="36"/>
        <v>153.6293812</v>
      </c>
      <c r="GM13" s="25">
        <f t="shared" si="37"/>
        <v>153.6293812</v>
      </c>
      <c r="GN13" s="25">
        <f t="shared" si="38"/>
        <v>153.6293812</v>
      </c>
      <c r="GO13" s="25">
        <f t="shared" si="39"/>
        <v>1075.405669</v>
      </c>
      <c r="GP13" s="25">
        <f t="shared" si="40"/>
        <v>768.1469061</v>
      </c>
      <c r="GQ13" s="27" t="str">
        <f t="shared" si="41"/>
        <v>#REF!</v>
      </c>
      <c r="GR13" s="28">
        <f t="shared" si="42"/>
        <v>1843.552575</v>
      </c>
      <c r="GS13" s="29">
        <f t="shared" si="43"/>
        <v>0.003829911461</v>
      </c>
      <c r="GT13" s="25" t="str">
        <f t="shared" si="44"/>
        <v>JUN</v>
      </c>
      <c r="GU13" s="25">
        <f t="shared" si="45"/>
        <v>0</v>
      </c>
      <c r="GV13" s="25">
        <f t="shared" si="46"/>
        <v>0</v>
      </c>
      <c r="GW13" s="25">
        <f t="shared" si="47"/>
        <v>0</v>
      </c>
      <c r="GX13" s="30">
        <f t="shared" si="48"/>
        <v>0</v>
      </c>
      <c r="GY13" s="30">
        <f t="shared" si="49"/>
        <v>0</v>
      </c>
      <c r="GZ13" s="30">
        <f t="shared" si="50"/>
        <v>153.6293812</v>
      </c>
      <c r="HA13" s="30">
        <f t="shared" si="51"/>
        <v>153.6293812</v>
      </c>
      <c r="HB13" s="30">
        <f t="shared" si="52"/>
        <v>153.6293812</v>
      </c>
      <c r="HC13" s="30">
        <f t="shared" si="53"/>
        <v>153.6293812</v>
      </c>
      <c r="HD13" s="30">
        <f t="shared" si="54"/>
        <v>153.6293812</v>
      </c>
      <c r="HE13" s="30">
        <f t="shared" si="55"/>
        <v>153.6293812</v>
      </c>
      <c r="HF13" s="30">
        <f t="shared" si="56"/>
        <v>153.6293812</v>
      </c>
      <c r="HG13" s="30">
        <f t="shared" si="57"/>
        <v>1075.405669</v>
      </c>
      <c r="HH13" s="30">
        <f t="shared" si="58"/>
        <v>768.1469061</v>
      </c>
      <c r="HI13" s="27" t="str">
        <f t="shared" si="59"/>
        <v>#REF!</v>
      </c>
      <c r="HJ13" s="12"/>
      <c r="HK13" s="12">
        <v>0.0</v>
      </c>
      <c r="HL13" s="12">
        <v>0.0</v>
      </c>
      <c r="HM13" s="25" t="str">
        <f t="shared" si="60"/>
        <v>JUN</v>
      </c>
      <c r="HN13" s="12" t="str">
        <f t="shared" si="61"/>
        <v/>
      </c>
    </row>
    <row r="14" ht="13.5" customHeight="1">
      <c r="A14" s="12" t="str">
        <f t="shared" si="2"/>
        <v>212236</v>
      </c>
      <c r="B14" s="31" t="s">
        <v>0</v>
      </c>
      <c r="C14" s="32" t="s">
        <v>94</v>
      </c>
      <c r="D14" s="32" t="s">
        <v>95</v>
      </c>
      <c r="E14" s="33">
        <v>212236.0</v>
      </c>
      <c r="F14" s="31" t="s">
        <v>124</v>
      </c>
      <c r="G14" s="31" t="s">
        <v>97</v>
      </c>
      <c r="H14" s="34">
        <v>3069.0</v>
      </c>
      <c r="I14" s="31" t="s">
        <v>98</v>
      </c>
      <c r="J14" s="31" t="s">
        <v>103</v>
      </c>
      <c r="K14" s="34">
        <v>1148700.0</v>
      </c>
      <c r="L14" s="17">
        <f t="shared" si="3"/>
        <v>425019</v>
      </c>
      <c r="M14" s="35">
        <v>0.37</v>
      </c>
      <c r="N14" s="31">
        <v>0.39</v>
      </c>
      <c r="O14" s="17">
        <f t="shared" si="4"/>
        <v>447993</v>
      </c>
      <c r="P14" s="36" t="s">
        <v>104</v>
      </c>
      <c r="Q14" s="37">
        <v>0.38626284006723527</v>
      </c>
      <c r="R14" s="38">
        <f t="shared" si="5"/>
        <v>443700.1244</v>
      </c>
      <c r="S14" s="36">
        <f t="shared" si="6"/>
        <v>36975.01037</v>
      </c>
      <c r="T14" s="36">
        <f t="shared" si="7"/>
        <v>18681.12439</v>
      </c>
      <c r="U14" s="39">
        <f t="shared" si="8"/>
        <v>0.0439536218</v>
      </c>
      <c r="V14" s="21">
        <v>0.3972651227954509</v>
      </c>
      <c r="W14" s="17">
        <f t="shared" si="9"/>
        <v>456338.4466</v>
      </c>
      <c r="X14" s="36">
        <f t="shared" si="10"/>
        <v>38028.20388</v>
      </c>
      <c r="Y14" s="17">
        <f t="shared" si="11"/>
        <v>31319.44656</v>
      </c>
      <c r="Z14" s="20">
        <f t="shared" si="12"/>
        <v>0.07368952107</v>
      </c>
      <c r="AA14" s="40">
        <v>0.12</v>
      </c>
      <c r="AB14" s="35">
        <f t="shared" si="13"/>
        <v>0.3399112993</v>
      </c>
      <c r="AC14" s="35">
        <f t="shared" si="14"/>
        <v>390456.1095</v>
      </c>
      <c r="AD14" s="35">
        <f t="shared" si="15"/>
        <v>-53244.01493</v>
      </c>
      <c r="AE14" s="41">
        <f t="shared" si="16"/>
        <v>-0.12</v>
      </c>
      <c r="AF14" s="18">
        <f t="shared" si="17"/>
        <v>-65882.3371</v>
      </c>
      <c r="AG14" s="24">
        <f t="shared" si="18"/>
        <v>-0.1443716557</v>
      </c>
      <c r="AH14" s="31" t="s">
        <v>105</v>
      </c>
      <c r="AI14" s="31"/>
      <c r="AJ14" s="33" t="str">
        <f t="shared" si="19"/>
        <v>BD COLETA</v>
      </c>
      <c r="AK14" s="35">
        <f t="shared" si="20"/>
        <v>0.39</v>
      </c>
      <c r="AL14" s="17">
        <f t="shared" si="21"/>
        <v>447993</v>
      </c>
      <c r="AM14" s="17">
        <f t="shared" si="22"/>
        <v>-8345.446555</v>
      </c>
      <c r="AN14" s="20">
        <f t="shared" si="23"/>
        <v>-0.01828784451</v>
      </c>
      <c r="AO14" s="35"/>
      <c r="AP14" s="35"/>
      <c r="AQ14" s="35"/>
      <c r="AR14" s="35">
        <v>0.39</v>
      </c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18"/>
      <c r="BT14" s="18"/>
      <c r="BU14" s="25"/>
      <c r="BV14" s="25"/>
      <c r="BW14" s="25"/>
      <c r="BX14" s="25"/>
      <c r="BY14" s="25"/>
      <c r="BZ14" s="25"/>
      <c r="CA14" s="25"/>
      <c r="CB14" s="26"/>
      <c r="CC14" s="26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25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25" t="str">
        <f t="shared" ref="FN14:FY14" si="72">$AD14*#REF!</f>
        <v>#REF!</v>
      </c>
      <c r="FO14" s="25" t="str">
        <f t="shared" si="72"/>
        <v>#REF!</v>
      </c>
      <c r="FP14" s="25" t="str">
        <f t="shared" si="72"/>
        <v>#REF!</v>
      </c>
      <c r="FQ14" s="25" t="str">
        <f t="shared" si="72"/>
        <v>#REF!</v>
      </c>
      <c r="FR14" s="25" t="str">
        <f t="shared" si="72"/>
        <v>#REF!</v>
      </c>
      <c r="FS14" s="25" t="str">
        <f t="shared" si="72"/>
        <v>#REF!</v>
      </c>
      <c r="FT14" s="25" t="str">
        <f t="shared" si="72"/>
        <v>#REF!</v>
      </c>
      <c r="FU14" s="25" t="str">
        <f t="shared" si="72"/>
        <v>#REF!</v>
      </c>
      <c r="FV14" s="25" t="str">
        <f t="shared" si="72"/>
        <v>#REF!</v>
      </c>
      <c r="FW14" s="25" t="str">
        <f t="shared" si="72"/>
        <v>#REF!</v>
      </c>
      <c r="FX14" s="25" t="str">
        <f t="shared" si="72"/>
        <v>#REF!</v>
      </c>
      <c r="FY14" s="25" t="str">
        <f t="shared" si="72"/>
        <v>#REF!</v>
      </c>
      <c r="FZ14" s="25" t="str">
        <f t="shared" si="25"/>
        <v>#REF!</v>
      </c>
      <c r="GA14" s="25" t="str">
        <f t="shared" si="26"/>
        <v>#REF!</v>
      </c>
      <c r="GB14" s="25" t="s">
        <v>76</v>
      </c>
      <c r="GC14" s="25">
        <f t="shared" si="27"/>
        <v>0</v>
      </c>
      <c r="GD14" s="25">
        <f t="shared" si="28"/>
        <v>0</v>
      </c>
      <c r="GE14" s="25">
        <f t="shared" si="29"/>
        <v>0</v>
      </c>
      <c r="GF14" s="25">
        <f t="shared" si="30"/>
        <v>0</v>
      </c>
      <c r="GG14" s="25">
        <f t="shared" si="31"/>
        <v>0</v>
      </c>
      <c r="GH14" s="25">
        <f t="shared" si="32"/>
        <v>-695.4538796</v>
      </c>
      <c r="GI14" s="25">
        <f t="shared" si="33"/>
        <v>-695.4538796</v>
      </c>
      <c r="GJ14" s="25">
        <f t="shared" si="34"/>
        <v>-695.4538796</v>
      </c>
      <c r="GK14" s="25">
        <f t="shared" si="35"/>
        <v>-695.4538796</v>
      </c>
      <c r="GL14" s="25">
        <f t="shared" si="36"/>
        <v>-695.4538796</v>
      </c>
      <c r="GM14" s="25">
        <f t="shared" si="37"/>
        <v>-695.4538796</v>
      </c>
      <c r="GN14" s="25">
        <f t="shared" si="38"/>
        <v>-695.4538796</v>
      </c>
      <c r="GO14" s="25">
        <f t="shared" si="39"/>
        <v>-4868.177157</v>
      </c>
      <c r="GP14" s="25">
        <f t="shared" si="40"/>
        <v>-3477.269398</v>
      </c>
      <c r="GQ14" s="27" t="str">
        <f t="shared" si="41"/>
        <v>#REF!</v>
      </c>
      <c r="GR14" s="28">
        <f t="shared" si="42"/>
        <v>-8345.446555</v>
      </c>
      <c r="GS14" s="29">
        <f t="shared" si="43"/>
        <v>-0.01828784451</v>
      </c>
      <c r="GT14" s="25" t="str">
        <f t="shared" si="44"/>
        <v>JUN</v>
      </c>
      <c r="GU14" s="25">
        <f t="shared" si="45"/>
        <v>0</v>
      </c>
      <c r="GV14" s="25">
        <f t="shared" si="46"/>
        <v>0</v>
      </c>
      <c r="GW14" s="25">
        <f t="shared" si="47"/>
        <v>0</v>
      </c>
      <c r="GX14" s="30">
        <f t="shared" si="48"/>
        <v>0</v>
      </c>
      <c r="GY14" s="30">
        <f t="shared" si="49"/>
        <v>0</v>
      </c>
      <c r="GZ14" s="30">
        <f t="shared" si="50"/>
        <v>-695.4538796</v>
      </c>
      <c r="HA14" s="30">
        <f t="shared" si="51"/>
        <v>-695.4538796</v>
      </c>
      <c r="HB14" s="30">
        <f t="shared" si="52"/>
        <v>-695.4538796</v>
      </c>
      <c r="HC14" s="30">
        <f t="shared" si="53"/>
        <v>-695.4538796</v>
      </c>
      <c r="HD14" s="30">
        <f t="shared" si="54"/>
        <v>-695.4538796</v>
      </c>
      <c r="HE14" s="30">
        <f t="shared" si="55"/>
        <v>-695.4538796</v>
      </c>
      <c r="HF14" s="30">
        <f t="shared" si="56"/>
        <v>-695.4538796</v>
      </c>
      <c r="HG14" s="30">
        <f t="shared" si="57"/>
        <v>-4868.177157</v>
      </c>
      <c r="HH14" s="30">
        <f t="shared" si="58"/>
        <v>-3477.269398</v>
      </c>
      <c r="HI14" s="27" t="str">
        <f t="shared" si="59"/>
        <v>#REF!</v>
      </c>
      <c r="HJ14" s="12"/>
      <c r="HK14" s="12">
        <v>1.0</v>
      </c>
      <c r="HL14" s="12">
        <v>1.0</v>
      </c>
      <c r="HM14" s="25" t="str">
        <f t="shared" si="60"/>
        <v>JUN</v>
      </c>
      <c r="HN14" s="12" t="str">
        <f t="shared" si="61"/>
        <v/>
      </c>
    </row>
    <row r="15" ht="13.5" customHeight="1">
      <c r="A15" s="12" t="str">
        <f t="shared" si="2"/>
        <v>212235</v>
      </c>
      <c r="B15" s="31" t="s">
        <v>0</v>
      </c>
      <c r="C15" s="32" t="s">
        <v>94</v>
      </c>
      <c r="D15" s="32" t="s">
        <v>95</v>
      </c>
      <c r="E15" s="33">
        <v>212235.0</v>
      </c>
      <c r="F15" s="31" t="s">
        <v>106</v>
      </c>
      <c r="G15" s="31" t="s">
        <v>97</v>
      </c>
      <c r="H15" s="34">
        <v>3069.0</v>
      </c>
      <c r="I15" s="31" t="s">
        <v>98</v>
      </c>
      <c r="J15" s="31" t="s">
        <v>125</v>
      </c>
      <c r="K15" s="34">
        <v>578400.0</v>
      </c>
      <c r="L15" s="17">
        <f t="shared" si="3"/>
        <v>414050.55</v>
      </c>
      <c r="M15" s="35">
        <v>0.715855031120332</v>
      </c>
      <c r="N15" s="31">
        <v>0.64</v>
      </c>
      <c r="O15" s="17">
        <f t="shared" si="4"/>
        <v>370176</v>
      </c>
      <c r="P15" s="36" t="s">
        <v>104</v>
      </c>
      <c r="Q15" s="37">
        <v>0.6280344806957802</v>
      </c>
      <c r="R15" s="38">
        <f t="shared" si="5"/>
        <v>363255.1436</v>
      </c>
      <c r="S15" s="36">
        <f t="shared" si="6"/>
        <v>30271.26197</v>
      </c>
      <c r="T15" s="36">
        <f t="shared" si="7"/>
        <v>-50795.40637</v>
      </c>
      <c r="U15" s="39">
        <f t="shared" si="8"/>
        <v>-0.122679239</v>
      </c>
      <c r="V15" s="21">
        <v>0.6375582085103213</v>
      </c>
      <c r="W15" s="17">
        <f t="shared" si="9"/>
        <v>368763.6678</v>
      </c>
      <c r="X15" s="36">
        <f t="shared" si="10"/>
        <v>30730.30565</v>
      </c>
      <c r="Y15" s="17">
        <f t="shared" si="11"/>
        <v>-45286.8822</v>
      </c>
      <c r="Z15" s="20">
        <f t="shared" si="12"/>
        <v>-0.1093752495</v>
      </c>
      <c r="AA15" s="40">
        <v>0.12</v>
      </c>
      <c r="AB15" s="35">
        <f t="shared" si="13"/>
        <v>0.552670343</v>
      </c>
      <c r="AC15" s="35">
        <f t="shared" si="14"/>
        <v>319664.5264</v>
      </c>
      <c r="AD15" s="35">
        <f t="shared" si="15"/>
        <v>-43590.61724</v>
      </c>
      <c r="AE15" s="41">
        <f t="shared" si="16"/>
        <v>-0.12</v>
      </c>
      <c r="AF15" s="18">
        <f t="shared" si="17"/>
        <v>-49099.1414</v>
      </c>
      <c r="AG15" s="24">
        <f t="shared" si="18"/>
        <v>-0.1331452789</v>
      </c>
      <c r="AH15" s="31" t="s">
        <v>105</v>
      </c>
      <c r="AI15" s="31"/>
      <c r="AJ15" s="33" t="str">
        <f t="shared" si="19"/>
        <v>BD COLETA</v>
      </c>
      <c r="AK15" s="35">
        <f t="shared" si="20"/>
        <v>0.64</v>
      </c>
      <c r="AL15" s="17">
        <f t="shared" si="21"/>
        <v>370176</v>
      </c>
      <c r="AM15" s="17">
        <f t="shared" si="22"/>
        <v>1412.332198</v>
      </c>
      <c r="AN15" s="20">
        <f t="shared" si="23"/>
        <v>0.003829911461</v>
      </c>
      <c r="AO15" s="35"/>
      <c r="AP15" s="35"/>
      <c r="AQ15" s="35"/>
      <c r="AR15" s="35">
        <v>0.64</v>
      </c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18"/>
      <c r="BT15" s="18"/>
      <c r="BU15" s="25"/>
      <c r="BV15" s="25"/>
      <c r="BW15" s="25"/>
      <c r="BX15" s="25"/>
      <c r="BY15" s="25"/>
      <c r="BZ15" s="25"/>
      <c r="CA15" s="25"/>
      <c r="CB15" s="26"/>
      <c r="CC15" s="26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25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25" t="str">
        <f t="shared" ref="FN15:FY15" si="73">$AD15*#REF!</f>
        <v>#REF!</v>
      </c>
      <c r="FO15" s="25" t="str">
        <f t="shared" si="73"/>
        <v>#REF!</v>
      </c>
      <c r="FP15" s="25" t="str">
        <f t="shared" si="73"/>
        <v>#REF!</v>
      </c>
      <c r="FQ15" s="25" t="str">
        <f t="shared" si="73"/>
        <v>#REF!</v>
      </c>
      <c r="FR15" s="25" t="str">
        <f t="shared" si="73"/>
        <v>#REF!</v>
      </c>
      <c r="FS15" s="25" t="str">
        <f t="shared" si="73"/>
        <v>#REF!</v>
      </c>
      <c r="FT15" s="25" t="str">
        <f t="shared" si="73"/>
        <v>#REF!</v>
      </c>
      <c r="FU15" s="25" t="str">
        <f t="shared" si="73"/>
        <v>#REF!</v>
      </c>
      <c r="FV15" s="25" t="str">
        <f t="shared" si="73"/>
        <v>#REF!</v>
      </c>
      <c r="FW15" s="25" t="str">
        <f t="shared" si="73"/>
        <v>#REF!</v>
      </c>
      <c r="FX15" s="25" t="str">
        <f t="shared" si="73"/>
        <v>#REF!</v>
      </c>
      <c r="FY15" s="25" t="str">
        <f t="shared" si="73"/>
        <v>#REF!</v>
      </c>
      <c r="FZ15" s="25" t="str">
        <f t="shared" si="25"/>
        <v>#REF!</v>
      </c>
      <c r="GA15" s="25" t="str">
        <f t="shared" si="26"/>
        <v>#REF!</v>
      </c>
      <c r="GB15" s="25" t="s">
        <v>76</v>
      </c>
      <c r="GC15" s="25">
        <f t="shared" si="27"/>
        <v>0</v>
      </c>
      <c r="GD15" s="25">
        <f t="shared" si="28"/>
        <v>0</v>
      </c>
      <c r="GE15" s="25">
        <f t="shared" si="29"/>
        <v>0</v>
      </c>
      <c r="GF15" s="25">
        <f t="shared" si="30"/>
        <v>0</v>
      </c>
      <c r="GG15" s="25">
        <f t="shared" si="31"/>
        <v>0</v>
      </c>
      <c r="GH15" s="25">
        <f t="shared" si="32"/>
        <v>117.6943498</v>
      </c>
      <c r="GI15" s="25">
        <f t="shared" si="33"/>
        <v>117.6943498</v>
      </c>
      <c r="GJ15" s="25">
        <f t="shared" si="34"/>
        <v>117.6943498</v>
      </c>
      <c r="GK15" s="25">
        <f t="shared" si="35"/>
        <v>117.6943498</v>
      </c>
      <c r="GL15" s="25">
        <f t="shared" si="36"/>
        <v>117.6943498</v>
      </c>
      <c r="GM15" s="25">
        <f t="shared" si="37"/>
        <v>117.6943498</v>
      </c>
      <c r="GN15" s="25">
        <f t="shared" si="38"/>
        <v>117.6943498</v>
      </c>
      <c r="GO15" s="25">
        <f t="shared" si="39"/>
        <v>823.8604486</v>
      </c>
      <c r="GP15" s="25">
        <f t="shared" si="40"/>
        <v>588.471749</v>
      </c>
      <c r="GQ15" s="27" t="str">
        <f t="shared" si="41"/>
        <v>#REF!</v>
      </c>
      <c r="GR15" s="28">
        <f t="shared" si="42"/>
        <v>1412.332198</v>
      </c>
      <c r="GS15" s="29">
        <f t="shared" si="43"/>
        <v>0.003829911461</v>
      </c>
      <c r="GT15" s="25" t="str">
        <f t="shared" si="44"/>
        <v>JUN</v>
      </c>
      <c r="GU15" s="25">
        <f t="shared" si="45"/>
        <v>0</v>
      </c>
      <c r="GV15" s="25">
        <f t="shared" si="46"/>
        <v>0</v>
      </c>
      <c r="GW15" s="25">
        <f t="shared" si="47"/>
        <v>0</v>
      </c>
      <c r="GX15" s="30">
        <f t="shared" si="48"/>
        <v>0</v>
      </c>
      <c r="GY15" s="30">
        <f t="shared" si="49"/>
        <v>0</v>
      </c>
      <c r="GZ15" s="30">
        <f t="shared" si="50"/>
        <v>117.6943498</v>
      </c>
      <c r="HA15" s="30">
        <f t="shared" si="51"/>
        <v>117.6943498</v>
      </c>
      <c r="HB15" s="30">
        <f t="shared" si="52"/>
        <v>117.6943498</v>
      </c>
      <c r="HC15" s="30">
        <f t="shared" si="53"/>
        <v>117.6943498</v>
      </c>
      <c r="HD15" s="30">
        <f t="shared" si="54"/>
        <v>117.6943498</v>
      </c>
      <c r="HE15" s="30">
        <f t="shared" si="55"/>
        <v>117.6943498</v>
      </c>
      <c r="HF15" s="30">
        <f t="shared" si="56"/>
        <v>117.6943498</v>
      </c>
      <c r="HG15" s="30">
        <f t="shared" si="57"/>
        <v>823.8604486</v>
      </c>
      <c r="HH15" s="30">
        <f t="shared" si="58"/>
        <v>588.471749</v>
      </c>
      <c r="HI15" s="27" t="str">
        <f t="shared" si="59"/>
        <v>#REF!</v>
      </c>
      <c r="HJ15" s="12"/>
      <c r="HK15" s="12">
        <v>0.0</v>
      </c>
      <c r="HL15" s="12">
        <v>0.0</v>
      </c>
      <c r="HM15" s="25" t="str">
        <f t="shared" si="60"/>
        <v>JUN</v>
      </c>
      <c r="HN15" s="12" t="str">
        <f t="shared" si="61"/>
        <v/>
      </c>
    </row>
    <row r="16" ht="13.5" customHeight="1">
      <c r="A16" s="12" t="str">
        <f t="shared" si="2"/>
        <v>197223</v>
      </c>
      <c r="B16" s="31" t="s">
        <v>0</v>
      </c>
      <c r="C16" s="32" t="s">
        <v>94</v>
      </c>
      <c r="D16" s="32" t="s">
        <v>110</v>
      </c>
      <c r="E16" s="33">
        <v>197223.0</v>
      </c>
      <c r="F16" s="31" t="s">
        <v>116</v>
      </c>
      <c r="G16" s="31" t="s">
        <v>126</v>
      </c>
      <c r="H16" s="34">
        <v>2043.0</v>
      </c>
      <c r="I16" s="31" t="s">
        <v>127</v>
      </c>
      <c r="J16" s="31" t="s">
        <v>103</v>
      </c>
      <c r="K16" s="34">
        <v>106750.0</v>
      </c>
      <c r="L16" s="17">
        <f t="shared" si="3"/>
        <v>400312.5</v>
      </c>
      <c r="M16" s="35">
        <v>3.75</v>
      </c>
      <c r="N16" s="31">
        <v>3.57</v>
      </c>
      <c r="O16" s="17">
        <f t="shared" si="4"/>
        <v>381097.5</v>
      </c>
      <c r="P16" s="36" t="s">
        <v>104</v>
      </c>
      <c r="Q16" s="37">
        <v>4.0070957514267596</v>
      </c>
      <c r="R16" s="38">
        <f t="shared" si="5"/>
        <v>427757.4715</v>
      </c>
      <c r="S16" s="36">
        <f t="shared" si="6"/>
        <v>35646.45596</v>
      </c>
      <c r="T16" s="36">
        <f t="shared" si="7"/>
        <v>27444.97146</v>
      </c>
      <c r="U16" s="39">
        <f t="shared" si="8"/>
        <v>0.06855886705</v>
      </c>
      <c r="V16" s="21">
        <v>4.091477108518662</v>
      </c>
      <c r="W16" s="17">
        <f t="shared" si="9"/>
        <v>436765.1813</v>
      </c>
      <c r="X16" s="36">
        <f t="shared" si="10"/>
        <v>36397.09844</v>
      </c>
      <c r="Y16" s="17">
        <f t="shared" si="11"/>
        <v>36452.68133</v>
      </c>
      <c r="Z16" s="20">
        <f t="shared" si="12"/>
        <v>0.09106056227</v>
      </c>
      <c r="AA16" s="40">
        <v>0.12</v>
      </c>
      <c r="AB16" s="35">
        <f t="shared" si="13"/>
        <v>3.526244261</v>
      </c>
      <c r="AC16" s="35">
        <f t="shared" si="14"/>
        <v>376426.5749</v>
      </c>
      <c r="AD16" s="35">
        <f t="shared" si="15"/>
        <v>-51330.89658</v>
      </c>
      <c r="AE16" s="41">
        <f t="shared" si="16"/>
        <v>-0.12</v>
      </c>
      <c r="AF16" s="18">
        <f t="shared" si="17"/>
        <v>-60338.60645</v>
      </c>
      <c r="AG16" s="24">
        <f t="shared" si="18"/>
        <v>-0.1381488475</v>
      </c>
      <c r="AH16" s="31" t="s">
        <v>105</v>
      </c>
      <c r="AI16" s="31"/>
      <c r="AJ16" s="33" t="str">
        <f t="shared" si="19"/>
        <v>BD COLETA</v>
      </c>
      <c r="AK16" s="35">
        <f t="shared" si="20"/>
        <v>3.39</v>
      </c>
      <c r="AL16" s="17">
        <f t="shared" si="21"/>
        <v>361882.5</v>
      </c>
      <c r="AM16" s="17">
        <f t="shared" si="22"/>
        <v>-74882.68133</v>
      </c>
      <c r="AN16" s="20">
        <f t="shared" si="23"/>
        <v>-0.1714483767</v>
      </c>
      <c r="AO16" s="35"/>
      <c r="AP16" s="35"/>
      <c r="AQ16" s="35"/>
      <c r="AR16" s="35">
        <v>3.39</v>
      </c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>
        <v>3.68</v>
      </c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18"/>
      <c r="BT16" s="18"/>
      <c r="BU16" s="25"/>
      <c r="BV16" s="25"/>
      <c r="BW16" s="25"/>
      <c r="BX16" s="25"/>
      <c r="BY16" s="25">
        <v>10.54</v>
      </c>
      <c r="BZ16" s="25" t="s">
        <v>119</v>
      </c>
      <c r="CA16" s="25"/>
      <c r="CB16" s="26"/>
      <c r="CC16" s="26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25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25" t="str">
        <f t="shared" ref="FN16:FY16" si="74">$AD16*#REF!</f>
        <v>#REF!</v>
      </c>
      <c r="FO16" s="25" t="str">
        <f t="shared" si="74"/>
        <v>#REF!</v>
      </c>
      <c r="FP16" s="25" t="str">
        <f t="shared" si="74"/>
        <v>#REF!</v>
      </c>
      <c r="FQ16" s="25" t="str">
        <f t="shared" si="74"/>
        <v>#REF!</v>
      </c>
      <c r="FR16" s="25" t="str">
        <f t="shared" si="74"/>
        <v>#REF!</v>
      </c>
      <c r="FS16" s="25" t="str">
        <f t="shared" si="74"/>
        <v>#REF!</v>
      </c>
      <c r="FT16" s="25" t="str">
        <f t="shared" si="74"/>
        <v>#REF!</v>
      </c>
      <c r="FU16" s="25" t="str">
        <f t="shared" si="74"/>
        <v>#REF!</v>
      </c>
      <c r="FV16" s="25" t="str">
        <f t="shared" si="74"/>
        <v>#REF!</v>
      </c>
      <c r="FW16" s="25" t="str">
        <f t="shared" si="74"/>
        <v>#REF!</v>
      </c>
      <c r="FX16" s="25" t="str">
        <f t="shared" si="74"/>
        <v>#REF!</v>
      </c>
      <c r="FY16" s="25" t="str">
        <f t="shared" si="74"/>
        <v>#REF!</v>
      </c>
      <c r="FZ16" s="25" t="str">
        <f t="shared" si="25"/>
        <v>#REF!</v>
      </c>
      <c r="GA16" s="25" t="str">
        <f t="shared" si="26"/>
        <v>#REF!</v>
      </c>
      <c r="GB16" s="25" t="s">
        <v>76</v>
      </c>
      <c r="GC16" s="25">
        <f t="shared" si="27"/>
        <v>0</v>
      </c>
      <c r="GD16" s="25">
        <f t="shared" si="28"/>
        <v>0</v>
      </c>
      <c r="GE16" s="25">
        <f t="shared" si="29"/>
        <v>0</v>
      </c>
      <c r="GF16" s="25">
        <f t="shared" si="30"/>
        <v>0</v>
      </c>
      <c r="GG16" s="25">
        <f t="shared" si="31"/>
        <v>0</v>
      </c>
      <c r="GH16" s="25">
        <f t="shared" si="32"/>
        <v>-6240.223445</v>
      </c>
      <c r="GI16" s="25">
        <f t="shared" si="33"/>
        <v>-6240.223445</v>
      </c>
      <c r="GJ16" s="25">
        <f t="shared" si="34"/>
        <v>-6240.223445</v>
      </c>
      <c r="GK16" s="25">
        <f t="shared" si="35"/>
        <v>-6240.223445</v>
      </c>
      <c r="GL16" s="25">
        <f t="shared" si="36"/>
        <v>-6240.223445</v>
      </c>
      <c r="GM16" s="25">
        <f t="shared" si="37"/>
        <v>-6240.223445</v>
      </c>
      <c r="GN16" s="25">
        <f t="shared" si="38"/>
        <v>-6240.223445</v>
      </c>
      <c r="GO16" s="25">
        <f t="shared" si="39"/>
        <v>-43681.56411</v>
      </c>
      <c r="GP16" s="25">
        <f t="shared" si="40"/>
        <v>-31201.11722</v>
      </c>
      <c r="GQ16" s="27" t="str">
        <f t="shared" si="41"/>
        <v>#REF!</v>
      </c>
      <c r="GR16" s="28">
        <f t="shared" si="42"/>
        <v>-74882.68133</v>
      </c>
      <c r="GS16" s="29">
        <f t="shared" si="43"/>
        <v>-0.1714483767</v>
      </c>
      <c r="GT16" s="25" t="str">
        <f t="shared" si="44"/>
        <v>JUN</v>
      </c>
      <c r="GU16" s="25">
        <f t="shared" si="45"/>
        <v>0</v>
      </c>
      <c r="GV16" s="25">
        <f t="shared" si="46"/>
        <v>0</v>
      </c>
      <c r="GW16" s="25">
        <f t="shared" si="47"/>
        <v>0</v>
      </c>
      <c r="GX16" s="30">
        <f t="shared" si="48"/>
        <v>0</v>
      </c>
      <c r="GY16" s="30">
        <f t="shared" si="49"/>
        <v>0</v>
      </c>
      <c r="GZ16" s="30">
        <f t="shared" si="50"/>
        <v>-6240.223445</v>
      </c>
      <c r="HA16" s="30">
        <f t="shared" si="51"/>
        <v>-6240.223445</v>
      </c>
      <c r="HB16" s="30">
        <f t="shared" si="52"/>
        <v>-6240.223445</v>
      </c>
      <c r="HC16" s="30">
        <f t="shared" si="53"/>
        <v>-6240.223445</v>
      </c>
      <c r="HD16" s="30">
        <f t="shared" si="54"/>
        <v>-6240.223445</v>
      </c>
      <c r="HE16" s="30">
        <f t="shared" si="55"/>
        <v>-6240.223445</v>
      </c>
      <c r="HF16" s="30">
        <f t="shared" si="56"/>
        <v>-6240.223445</v>
      </c>
      <c r="HG16" s="30">
        <f t="shared" si="57"/>
        <v>-43681.56411</v>
      </c>
      <c r="HH16" s="30">
        <f t="shared" si="58"/>
        <v>-31201.11722</v>
      </c>
      <c r="HI16" s="27" t="str">
        <f t="shared" si="59"/>
        <v>#REF!</v>
      </c>
      <c r="HJ16" s="12"/>
      <c r="HK16" s="12">
        <v>0.0</v>
      </c>
      <c r="HL16" s="12">
        <v>0.0</v>
      </c>
      <c r="HM16" s="25" t="str">
        <f t="shared" si="60"/>
        <v>JUN</v>
      </c>
      <c r="HN16" s="12" t="str">
        <f t="shared" si="61"/>
        <v/>
      </c>
    </row>
    <row r="17" ht="13.5" customHeight="1">
      <c r="A17" s="12" t="str">
        <f t="shared" si="2"/>
        <v>213624</v>
      </c>
      <c r="B17" s="31">
        <v>159.0</v>
      </c>
      <c r="C17" s="32" t="s">
        <v>94</v>
      </c>
      <c r="D17" s="32" t="s">
        <v>101</v>
      </c>
      <c r="E17" s="33">
        <v>213624.0</v>
      </c>
      <c r="F17" s="31" t="s">
        <v>128</v>
      </c>
      <c r="G17" s="31" t="s">
        <v>97</v>
      </c>
      <c r="H17" s="34">
        <v>3069.0</v>
      </c>
      <c r="I17" s="31" t="s">
        <v>98</v>
      </c>
      <c r="J17" s="31" t="s">
        <v>129</v>
      </c>
      <c r="K17" s="34">
        <v>205200.0</v>
      </c>
      <c r="L17" s="17">
        <f t="shared" si="3"/>
        <v>395325.92</v>
      </c>
      <c r="M17" s="35">
        <v>1.9265395711500977</v>
      </c>
      <c r="N17" s="31">
        <v>195.04</v>
      </c>
      <c r="O17" s="17">
        <f t="shared" si="4"/>
        <v>40022208</v>
      </c>
      <c r="P17" s="36" t="s">
        <v>129</v>
      </c>
      <c r="Q17" s="37">
        <v>1.9595321387723985</v>
      </c>
      <c r="R17" s="38">
        <f t="shared" si="5"/>
        <v>402095.9949</v>
      </c>
      <c r="S17" s="36">
        <f t="shared" si="6"/>
        <v>33507.99957</v>
      </c>
      <c r="T17" s="36">
        <f t="shared" si="7"/>
        <v>6770.074876</v>
      </c>
      <c r="U17" s="39">
        <f t="shared" si="8"/>
        <v>0.01712529974</v>
      </c>
      <c r="V17" s="21">
        <v>1.9506406754709864</v>
      </c>
      <c r="W17" s="17">
        <f t="shared" si="9"/>
        <v>400271.4666</v>
      </c>
      <c r="X17" s="36">
        <f t="shared" si="10"/>
        <v>33355.95555</v>
      </c>
      <c r="Y17" s="17">
        <f t="shared" si="11"/>
        <v>4945.546607</v>
      </c>
      <c r="Z17" s="20">
        <f t="shared" si="12"/>
        <v>0.01251004894</v>
      </c>
      <c r="AA17" s="40">
        <v>0.12</v>
      </c>
      <c r="AB17" s="35">
        <f t="shared" si="13"/>
        <v>1.724388282</v>
      </c>
      <c r="AC17" s="35">
        <f t="shared" si="14"/>
        <v>353844.4755</v>
      </c>
      <c r="AD17" s="35">
        <f t="shared" si="15"/>
        <v>-48251.51939</v>
      </c>
      <c r="AE17" s="41">
        <f t="shared" si="16"/>
        <v>-0.12</v>
      </c>
      <c r="AF17" s="18">
        <f t="shared" si="17"/>
        <v>-46426.99112</v>
      </c>
      <c r="AG17" s="24">
        <f t="shared" si="18"/>
        <v>-0.1159887601</v>
      </c>
      <c r="AH17" s="31" t="s">
        <v>105</v>
      </c>
      <c r="AI17" s="31"/>
      <c r="AJ17" s="33" t="str">
        <f t="shared" si="19"/>
        <v>SARSTEDT</v>
      </c>
      <c r="AK17" s="35">
        <f t="shared" si="20"/>
        <v>1.95</v>
      </c>
      <c r="AL17" s="17">
        <f t="shared" si="21"/>
        <v>400140</v>
      </c>
      <c r="AM17" s="17">
        <f t="shared" si="22"/>
        <v>-131.4666066</v>
      </c>
      <c r="AN17" s="20">
        <f t="shared" si="23"/>
        <v>-0.0003284436129</v>
      </c>
      <c r="AO17" s="35"/>
      <c r="AP17" s="35"/>
      <c r="AQ17" s="35"/>
      <c r="AR17" s="35"/>
      <c r="AS17" s="35"/>
      <c r="AT17" s="35"/>
      <c r="AU17" s="35"/>
      <c r="AV17" s="35">
        <v>1.95</v>
      </c>
      <c r="AW17" s="35" t="s">
        <v>41</v>
      </c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18"/>
      <c r="BT17" s="18"/>
      <c r="BU17" s="25"/>
      <c r="BV17" s="25"/>
      <c r="BW17" s="25"/>
      <c r="BX17" s="25"/>
      <c r="BY17" s="25">
        <v>3.2076</v>
      </c>
      <c r="BZ17" s="25" t="s">
        <v>130</v>
      </c>
      <c r="CA17" s="25"/>
      <c r="CB17" s="26"/>
      <c r="CC17" s="26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25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25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25" t="str">
        <f t="shared" ref="FN17:FY17" si="75">$AD17*#REF!</f>
        <v>#REF!</v>
      </c>
      <c r="FO17" s="25" t="str">
        <f t="shared" si="75"/>
        <v>#REF!</v>
      </c>
      <c r="FP17" s="25" t="str">
        <f t="shared" si="75"/>
        <v>#REF!</v>
      </c>
      <c r="FQ17" s="25" t="str">
        <f t="shared" si="75"/>
        <v>#REF!</v>
      </c>
      <c r="FR17" s="25" t="str">
        <f t="shared" si="75"/>
        <v>#REF!</v>
      </c>
      <c r="FS17" s="25" t="str">
        <f t="shared" si="75"/>
        <v>#REF!</v>
      </c>
      <c r="FT17" s="25" t="str">
        <f t="shared" si="75"/>
        <v>#REF!</v>
      </c>
      <c r="FU17" s="25" t="str">
        <f t="shared" si="75"/>
        <v>#REF!</v>
      </c>
      <c r="FV17" s="25" t="str">
        <f t="shared" si="75"/>
        <v>#REF!</v>
      </c>
      <c r="FW17" s="25" t="str">
        <f t="shared" si="75"/>
        <v>#REF!</v>
      </c>
      <c r="FX17" s="25" t="str">
        <f t="shared" si="75"/>
        <v>#REF!</v>
      </c>
      <c r="FY17" s="25" t="str">
        <f t="shared" si="75"/>
        <v>#REF!</v>
      </c>
      <c r="FZ17" s="25" t="str">
        <f t="shared" si="25"/>
        <v>#REF!</v>
      </c>
      <c r="GA17" s="25" t="str">
        <f t="shared" si="26"/>
        <v>#REF!</v>
      </c>
      <c r="GB17" s="25" t="s">
        <v>75</v>
      </c>
      <c r="GC17" s="25">
        <f t="shared" si="27"/>
        <v>0</v>
      </c>
      <c r="GD17" s="25">
        <f t="shared" si="28"/>
        <v>0</v>
      </c>
      <c r="GE17" s="25">
        <f t="shared" si="29"/>
        <v>0</v>
      </c>
      <c r="GF17" s="25">
        <f t="shared" si="30"/>
        <v>0</v>
      </c>
      <c r="GG17" s="25">
        <f t="shared" si="31"/>
        <v>-10.95555055</v>
      </c>
      <c r="GH17" s="25">
        <f t="shared" si="32"/>
        <v>-10.95555055</v>
      </c>
      <c r="GI17" s="25">
        <f t="shared" si="33"/>
        <v>-10.95555055</v>
      </c>
      <c r="GJ17" s="25">
        <f t="shared" si="34"/>
        <v>-10.95555055</v>
      </c>
      <c r="GK17" s="25">
        <f t="shared" si="35"/>
        <v>-10.95555055</v>
      </c>
      <c r="GL17" s="25">
        <f t="shared" si="36"/>
        <v>-10.95555055</v>
      </c>
      <c r="GM17" s="25">
        <f t="shared" si="37"/>
        <v>-10.95555055</v>
      </c>
      <c r="GN17" s="25">
        <f t="shared" si="38"/>
        <v>-10.95555055</v>
      </c>
      <c r="GO17" s="30">
        <f t="shared" si="39"/>
        <v>-87.64440443</v>
      </c>
      <c r="GP17" s="25">
        <f t="shared" si="40"/>
        <v>-43.82220222</v>
      </c>
      <c r="GQ17" s="27" t="str">
        <f t="shared" si="41"/>
        <v>#REF!</v>
      </c>
      <c r="GR17" s="28">
        <f t="shared" si="42"/>
        <v>-131.4666066</v>
      </c>
      <c r="GS17" s="29">
        <f t="shared" si="43"/>
        <v>-0.0003284436129</v>
      </c>
      <c r="GT17" s="25" t="str">
        <f t="shared" si="44"/>
        <v>MAI</v>
      </c>
      <c r="GU17" s="25">
        <f t="shared" si="45"/>
        <v>0</v>
      </c>
      <c r="GV17" s="25">
        <f t="shared" si="46"/>
        <v>0</v>
      </c>
      <c r="GW17" s="25">
        <f t="shared" si="47"/>
        <v>0</v>
      </c>
      <c r="GX17" s="30">
        <f t="shared" si="48"/>
        <v>0</v>
      </c>
      <c r="GY17" s="30">
        <f t="shared" si="49"/>
        <v>-10.95555055</v>
      </c>
      <c r="GZ17" s="30">
        <f t="shared" si="50"/>
        <v>-10.95555055</v>
      </c>
      <c r="HA17" s="30">
        <f t="shared" si="51"/>
        <v>-10.95555055</v>
      </c>
      <c r="HB17" s="30">
        <f t="shared" si="52"/>
        <v>-10.95555055</v>
      </c>
      <c r="HC17" s="30">
        <f t="shared" si="53"/>
        <v>-10.95555055</v>
      </c>
      <c r="HD17" s="30">
        <f t="shared" si="54"/>
        <v>-10.95555055</v>
      </c>
      <c r="HE17" s="30">
        <f t="shared" si="55"/>
        <v>-10.95555055</v>
      </c>
      <c r="HF17" s="30">
        <f t="shared" si="56"/>
        <v>-10.95555055</v>
      </c>
      <c r="HG17" s="30">
        <f t="shared" si="57"/>
        <v>-87.64440443</v>
      </c>
      <c r="HH17" s="30">
        <f t="shared" si="58"/>
        <v>-43.82220222</v>
      </c>
      <c r="HI17" s="27" t="str">
        <f t="shared" si="59"/>
        <v>#REF!</v>
      </c>
      <c r="HJ17" s="12"/>
      <c r="HK17" s="12">
        <v>1.0</v>
      </c>
      <c r="HL17" s="12">
        <v>1.0</v>
      </c>
      <c r="HM17" s="25" t="str">
        <f t="shared" si="60"/>
        <v>MAI</v>
      </c>
      <c r="HN17" s="12" t="str">
        <f t="shared" si="61"/>
        <v/>
      </c>
    </row>
    <row r="18" ht="13.5" customHeight="1">
      <c r="A18" s="12" t="str">
        <f t="shared" si="2"/>
        <v>150420</v>
      </c>
      <c r="B18" s="31" t="s">
        <v>0</v>
      </c>
      <c r="C18" s="32" t="s">
        <v>94</v>
      </c>
      <c r="D18" s="32" t="s">
        <v>107</v>
      </c>
      <c r="E18" s="33">
        <v>150420.0</v>
      </c>
      <c r="F18" s="31" t="s">
        <v>108</v>
      </c>
      <c r="G18" s="31" t="s">
        <v>112</v>
      </c>
      <c r="H18" s="34">
        <v>2045.0</v>
      </c>
      <c r="I18" s="31" t="s">
        <v>113</v>
      </c>
      <c r="J18" s="31" t="s">
        <v>103</v>
      </c>
      <c r="K18" s="34">
        <v>568752.0</v>
      </c>
      <c r="L18" s="17">
        <f t="shared" si="3"/>
        <v>381065.25</v>
      </c>
      <c r="M18" s="35">
        <v>0.6700024791121615</v>
      </c>
      <c r="N18" s="31">
        <v>0.74</v>
      </c>
      <c r="O18" s="17">
        <f t="shared" si="4"/>
        <v>420876.48</v>
      </c>
      <c r="P18" s="36" t="s">
        <v>104</v>
      </c>
      <c r="Q18" s="37">
        <v>0.7702578840709202</v>
      </c>
      <c r="R18" s="38">
        <f t="shared" si="5"/>
        <v>438085.7121</v>
      </c>
      <c r="S18" s="36">
        <f t="shared" si="6"/>
        <v>36507.14267</v>
      </c>
      <c r="T18" s="36">
        <f t="shared" si="7"/>
        <v>57020.46208</v>
      </c>
      <c r="U18" s="39">
        <f t="shared" si="8"/>
        <v>0.1496343791</v>
      </c>
      <c r="V18" s="21">
        <v>0.7946273243714965</v>
      </c>
      <c r="W18" s="17">
        <f t="shared" si="9"/>
        <v>451945.88</v>
      </c>
      <c r="X18" s="36">
        <f t="shared" si="10"/>
        <v>37662.15667</v>
      </c>
      <c r="Y18" s="17">
        <f t="shared" si="11"/>
        <v>70880.62999</v>
      </c>
      <c r="Z18" s="20">
        <f t="shared" si="12"/>
        <v>0.1860065435</v>
      </c>
      <c r="AA18" s="40">
        <v>0.12</v>
      </c>
      <c r="AB18" s="35">
        <f t="shared" si="13"/>
        <v>0.677826938</v>
      </c>
      <c r="AC18" s="35">
        <f t="shared" si="14"/>
        <v>385515.4266</v>
      </c>
      <c r="AD18" s="35">
        <f t="shared" si="15"/>
        <v>-52570.28545</v>
      </c>
      <c r="AE18" s="41">
        <f t="shared" si="16"/>
        <v>-0.12</v>
      </c>
      <c r="AF18" s="18">
        <f t="shared" si="17"/>
        <v>-66430.45336</v>
      </c>
      <c r="AG18" s="24">
        <f t="shared" si="18"/>
        <v>-0.1469876291</v>
      </c>
      <c r="AH18" s="31" t="s">
        <v>105</v>
      </c>
      <c r="AI18" s="31"/>
      <c r="AJ18" s="33" t="str">
        <f t="shared" si="19"/>
        <v>BD COLETA</v>
      </c>
      <c r="AK18" s="35">
        <f t="shared" si="20"/>
        <v>0.74</v>
      </c>
      <c r="AL18" s="17">
        <f t="shared" si="21"/>
        <v>420876.48</v>
      </c>
      <c r="AM18" s="17">
        <f t="shared" si="22"/>
        <v>-31069.39999</v>
      </c>
      <c r="AN18" s="20">
        <f t="shared" si="23"/>
        <v>-0.06874584185</v>
      </c>
      <c r="AO18" s="35"/>
      <c r="AP18" s="35"/>
      <c r="AQ18" s="35"/>
      <c r="AR18" s="35">
        <v>0.74</v>
      </c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18"/>
      <c r="BT18" s="18"/>
      <c r="BU18" s="25"/>
      <c r="BV18" s="25"/>
      <c r="BW18" s="25"/>
      <c r="BX18" s="25"/>
      <c r="BY18" s="25">
        <v>1.30832</v>
      </c>
      <c r="BZ18" s="25" t="s">
        <v>109</v>
      </c>
      <c r="CA18" s="25"/>
      <c r="CB18" s="26"/>
      <c r="CC18" s="26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25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25" t="str">
        <f t="shared" ref="FN18:FY18" si="76">$AD18*#REF!</f>
        <v>#REF!</v>
      </c>
      <c r="FO18" s="25" t="str">
        <f t="shared" si="76"/>
        <v>#REF!</v>
      </c>
      <c r="FP18" s="25" t="str">
        <f t="shared" si="76"/>
        <v>#REF!</v>
      </c>
      <c r="FQ18" s="25" t="str">
        <f t="shared" si="76"/>
        <v>#REF!</v>
      </c>
      <c r="FR18" s="25" t="str">
        <f t="shared" si="76"/>
        <v>#REF!</v>
      </c>
      <c r="FS18" s="25" t="str">
        <f t="shared" si="76"/>
        <v>#REF!</v>
      </c>
      <c r="FT18" s="25" t="str">
        <f t="shared" si="76"/>
        <v>#REF!</v>
      </c>
      <c r="FU18" s="25" t="str">
        <f t="shared" si="76"/>
        <v>#REF!</v>
      </c>
      <c r="FV18" s="25" t="str">
        <f t="shared" si="76"/>
        <v>#REF!</v>
      </c>
      <c r="FW18" s="25" t="str">
        <f t="shared" si="76"/>
        <v>#REF!</v>
      </c>
      <c r="FX18" s="25" t="str">
        <f t="shared" si="76"/>
        <v>#REF!</v>
      </c>
      <c r="FY18" s="25" t="str">
        <f t="shared" si="76"/>
        <v>#REF!</v>
      </c>
      <c r="FZ18" s="25" t="str">
        <f t="shared" si="25"/>
        <v>#REF!</v>
      </c>
      <c r="GA18" s="25" t="str">
        <f t="shared" si="26"/>
        <v>#REF!</v>
      </c>
      <c r="GB18" s="25" t="s">
        <v>76</v>
      </c>
      <c r="GC18" s="25">
        <f t="shared" si="27"/>
        <v>0</v>
      </c>
      <c r="GD18" s="25">
        <f t="shared" si="28"/>
        <v>0</v>
      </c>
      <c r="GE18" s="25">
        <f t="shared" si="29"/>
        <v>0</v>
      </c>
      <c r="GF18" s="25">
        <f t="shared" si="30"/>
        <v>0</v>
      </c>
      <c r="GG18" s="25">
        <f t="shared" si="31"/>
        <v>0</v>
      </c>
      <c r="GH18" s="25">
        <f t="shared" si="32"/>
        <v>-2589.116666</v>
      </c>
      <c r="GI18" s="25">
        <f t="shared" si="33"/>
        <v>-2589.116666</v>
      </c>
      <c r="GJ18" s="25">
        <f t="shared" si="34"/>
        <v>-2589.116666</v>
      </c>
      <c r="GK18" s="25">
        <f t="shared" si="35"/>
        <v>-2589.116666</v>
      </c>
      <c r="GL18" s="25">
        <f t="shared" si="36"/>
        <v>-2589.116666</v>
      </c>
      <c r="GM18" s="25">
        <f t="shared" si="37"/>
        <v>-2589.116666</v>
      </c>
      <c r="GN18" s="25">
        <f t="shared" si="38"/>
        <v>-2589.116666</v>
      </c>
      <c r="GO18" s="25">
        <f t="shared" si="39"/>
        <v>-18123.81666</v>
      </c>
      <c r="GP18" s="25">
        <f t="shared" si="40"/>
        <v>-12945.58333</v>
      </c>
      <c r="GQ18" s="27" t="str">
        <f t="shared" si="41"/>
        <v>#REF!</v>
      </c>
      <c r="GR18" s="28">
        <f t="shared" si="42"/>
        <v>-31069.39999</v>
      </c>
      <c r="GS18" s="29">
        <f t="shared" si="43"/>
        <v>-0.06874584185</v>
      </c>
      <c r="GT18" s="25" t="str">
        <f t="shared" si="44"/>
        <v>JUN</v>
      </c>
      <c r="GU18" s="25">
        <f t="shared" si="45"/>
        <v>0</v>
      </c>
      <c r="GV18" s="25">
        <f t="shared" si="46"/>
        <v>0</v>
      </c>
      <c r="GW18" s="25">
        <f t="shared" si="47"/>
        <v>0</v>
      </c>
      <c r="GX18" s="30">
        <f t="shared" si="48"/>
        <v>0</v>
      </c>
      <c r="GY18" s="30">
        <f t="shared" si="49"/>
        <v>0</v>
      </c>
      <c r="GZ18" s="30">
        <f t="shared" si="50"/>
        <v>-2589.116666</v>
      </c>
      <c r="HA18" s="30">
        <f t="shared" si="51"/>
        <v>-2589.116666</v>
      </c>
      <c r="HB18" s="30">
        <f t="shared" si="52"/>
        <v>-2589.116666</v>
      </c>
      <c r="HC18" s="30">
        <f t="shared" si="53"/>
        <v>-2589.116666</v>
      </c>
      <c r="HD18" s="30">
        <f t="shared" si="54"/>
        <v>-2589.116666</v>
      </c>
      <c r="HE18" s="30">
        <f t="shared" si="55"/>
        <v>-2589.116666</v>
      </c>
      <c r="HF18" s="30">
        <f t="shared" si="56"/>
        <v>-2589.116666</v>
      </c>
      <c r="HG18" s="30">
        <f t="shared" si="57"/>
        <v>-18123.81666</v>
      </c>
      <c r="HH18" s="30">
        <f t="shared" si="58"/>
        <v>-12945.58333</v>
      </c>
      <c r="HI18" s="27" t="str">
        <f t="shared" si="59"/>
        <v>#REF!</v>
      </c>
      <c r="HJ18" s="12"/>
      <c r="HK18" s="12">
        <v>0.0</v>
      </c>
      <c r="HL18" s="12">
        <v>0.0</v>
      </c>
      <c r="HM18" s="25" t="str">
        <f t="shared" si="60"/>
        <v>JUN</v>
      </c>
      <c r="HN18" s="12" t="str">
        <f t="shared" si="61"/>
        <v/>
      </c>
    </row>
    <row r="19" ht="13.5" customHeight="1">
      <c r="A19" s="12" t="str">
        <f t="shared" si="2"/>
        <v>212235</v>
      </c>
      <c r="B19" s="31" t="s">
        <v>0</v>
      </c>
      <c r="C19" s="32" t="s">
        <v>94</v>
      </c>
      <c r="D19" s="32" t="s">
        <v>95</v>
      </c>
      <c r="E19" s="33">
        <v>212235.0</v>
      </c>
      <c r="F19" s="31" t="s">
        <v>106</v>
      </c>
      <c r="G19" s="31" t="s">
        <v>120</v>
      </c>
      <c r="H19" s="34">
        <v>2044.0</v>
      </c>
      <c r="I19" s="31" t="s">
        <v>121</v>
      </c>
      <c r="J19" s="31" t="s">
        <v>103</v>
      </c>
      <c r="K19" s="34">
        <v>603700.0</v>
      </c>
      <c r="L19" s="17">
        <f t="shared" si="3"/>
        <v>356183</v>
      </c>
      <c r="M19" s="35">
        <v>0.59</v>
      </c>
      <c r="N19" s="31">
        <v>0.64</v>
      </c>
      <c r="O19" s="17">
        <f t="shared" si="4"/>
        <v>386368</v>
      </c>
      <c r="P19" s="36" t="s">
        <v>104</v>
      </c>
      <c r="Q19" s="37">
        <v>0.6280344806957802</v>
      </c>
      <c r="R19" s="38">
        <f t="shared" si="5"/>
        <v>379144.416</v>
      </c>
      <c r="S19" s="36">
        <f t="shared" si="6"/>
        <v>31595.368</v>
      </c>
      <c r="T19" s="36">
        <f t="shared" si="7"/>
        <v>22961.416</v>
      </c>
      <c r="U19" s="39">
        <f t="shared" si="8"/>
        <v>0.06446522152</v>
      </c>
      <c r="V19" s="21">
        <v>0.6375582085103213</v>
      </c>
      <c r="W19" s="17">
        <f t="shared" si="9"/>
        <v>384893.8905</v>
      </c>
      <c r="X19" s="36">
        <f t="shared" si="10"/>
        <v>32074.49087</v>
      </c>
      <c r="Y19" s="17">
        <f t="shared" si="11"/>
        <v>28710.89048</v>
      </c>
      <c r="Z19" s="20">
        <f t="shared" si="12"/>
        <v>0.08060713307</v>
      </c>
      <c r="AA19" s="40">
        <v>0.12</v>
      </c>
      <c r="AB19" s="35">
        <f t="shared" si="13"/>
        <v>0.552670343</v>
      </c>
      <c r="AC19" s="35">
        <f t="shared" si="14"/>
        <v>333647.0861</v>
      </c>
      <c r="AD19" s="35">
        <f t="shared" si="15"/>
        <v>-45497.32992</v>
      </c>
      <c r="AE19" s="41">
        <f t="shared" si="16"/>
        <v>-0.12</v>
      </c>
      <c r="AF19" s="18">
        <f t="shared" si="17"/>
        <v>-51246.8044</v>
      </c>
      <c r="AG19" s="24">
        <f t="shared" si="18"/>
        <v>-0.1331452789</v>
      </c>
      <c r="AH19" s="31" t="s">
        <v>105</v>
      </c>
      <c r="AI19" s="31"/>
      <c r="AJ19" s="33" t="str">
        <f t="shared" si="19"/>
        <v>BD COLETA</v>
      </c>
      <c r="AK19" s="35">
        <f t="shared" si="20"/>
        <v>0.64</v>
      </c>
      <c r="AL19" s="17">
        <f t="shared" si="21"/>
        <v>386368</v>
      </c>
      <c r="AM19" s="17">
        <f t="shared" si="22"/>
        <v>1474.109522</v>
      </c>
      <c r="AN19" s="20">
        <f t="shared" si="23"/>
        <v>0.003829911461</v>
      </c>
      <c r="AO19" s="35"/>
      <c r="AP19" s="35"/>
      <c r="AQ19" s="35"/>
      <c r="AR19" s="35">
        <v>0.64</v>
      </c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18"/>
      <c r="BT19" s="18"/>
      <c r="BU19" s="25"/>
      <c r="BV19" s="25"/>
      <c r="BW19" s="25"/>
      <c r="BX19" s="25"/>
      <c r="BY19" s="25"/>
      <c r="BZ19" s="25"/>
      <c r="CA19" s="25"/>
      <c r="CB19" s="26"/>
      <c r="CC19" s="26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25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25" t="str">
        <f t="shared" ref="FN19:FY19" si="77">$AD19*#REF!</f>
        <v>#REF!</v>
      </c>
      <c r="FO19" s="25" t="str">
        <f t="shared" si="77"/>
        <v>#REF!</v>
      </c>
      <c r="FP19" s="25" t="str">
        <f t="shared" si="77"/>
        <v>#REF!</v>
      </c>
      <c r="FQ19" s="25" t="str">
        <f t="shared" si="77"/>
        <v>#REF!</v>
      </c>
      <c r="FR19" s="25" t="str">
        <f t="shared" si="77"/>
        <v>#REF!</v>
      </c>
      <c r="FS19" s="25" t="str">
        <f t="shared" si="77"/>
        <v>#REF!</v>
      </c>
      <c r="FT19" s="25" t="str">
        <f t="shared" si="77"/>
        <v>#REF!</v>
      </c>
      <c r="FU19" s="25" t="str">
        <f t="shared" si="77"/>
        <v>#REF!</v>
      </c>
      <c r="FV19" s="25" t="str">
        <f t="shared" si="77"/>
        <v>#REF!</v>
      </c>
      <c r="FW19" s="25" t="str">
        <f t="shared" si="77"/>
        <v>#REF!</v>
      </c>
      <c r="FX19" s="25" t="str">
        <f t="shared" si="77"/>
        <v>#REF!</v>
      </c>
      <c r="FY19" s="25" t="str">
        <f t="shared" si="77"/>
        <v>#REF!</v>
      </c>
      <c r="FZ19" s="25" t="str">
        <f t="shared" si="25"/>
        <v>#REF!</v>
      </c>
      <c r="GA19" s="25" t="str">
        <f t="shared" si="26"/>
        <v>#REF!</v>
      </c>
      <c r="GB19" s="25" t="s">
        <v>76</v>
      </c>
      <c r="GC19" s="25">
        <f t="shared" si="27"/>
        <v>0</v>
      </c>
      <c r="GD19" s="25">
        <f t="shared" si="28"/>
        <v>0</v>
      </c>
      <c r="GE19" s="25">
        <f t="shared" si="29"/>
        <v>0</v>
      </c>
      <c r="GF19" s="25">
        <f t="shared" si="30"/>
        <v>0</v>
      </c>
      <c r="GG19" s="25">
        <f t="shared" si="31"/>
        <v>0</v>
      </c>
      <c r="GH19" s="25">
        <f t="shared" si="32"/>
        <v>122.8424602</v>
      </c>
      <c r="GI19" s="25">
        <f t="shared" si="33"/>
        <v>122.8424602</v>
      </c>
      <c r="GJ19" s="25">
        <f t="shared" si="34"/>
        <v>122.8424602</v>
      </c>
      <c r="GK19" s="25">
        <f t="shared" si="35"/>
        <v>122.8424602</v>
      </c>
      <c r="GL19" s="25">
        <f t="shared" si="36"/>
        <v>122.8424602</v>
      </c>
      <c r="GM19" s="25">
        <f t="shared" si="37"/>
        <v>122.8424602</v>
      </c>
      <c r="GN19" s="25">
        <f t="shared" si="38"/>
        <v>122.8424602</v>
      </c>
      <c r="GO19" s="25">
        <f t="shared" si="39"/>
        <v>859.8972214</v>
      </c>
      <c r="GP19" s="25">
        <f t="shared" si="40"/>
        <v>614.212301</v>
      </c>
      <c r="GQ19" s="27" t="str">
        <f t="shared" si="41"/>
        <v>#REF!</v>
      </c>
      <c r="GR19" s="28">
        <f t="shared" si="42"/>
        <v>1474.109522</v>
      </c>
      <c r="GS19" s="29">
        <f t="shared" si="43"/>
        <v>0.003829911461</v>
      </c>
      <c r="GT19" s="25" t="str">
        <f t="shared" si="44"/>
        <v>JUN</v>
      </c>
      <c r="GU19" s="25">
        <f t="shared" si="45"/>
        <v>0</v>
      </c>
      <c r="GV19" s="25">
        <f t="shared" si="46"/>
        <v>0</v>
      </c>
      <c r="GW19" s="25">
        <f t="shared" si="47"/>
        <v>0</v>
      </c>
      <c r="GX19" s="30">
        <f t="shared" si="48"/>
        <v>0</v>
      </c>
      <c r="GY19" s="30">
        <f t="shared" si="49"/>
        <v>0</v>
      </c>
      <c r="GZ19" s="30">
        <f t="shared" si="50"/>
        <v>122.8424602</v>
      </c>
      <c r="HA19" s="30">
        <f t="shared" si="51"/>
        <v>122.8424602</v>
      </c>
      <c r="HB19" s="30">
        <f t="shared" si="52"/>
        <v>122.8424602</v>
      </c>
      <c r="HC19" s="30">
        <f t="shared" si="53"/>
        <v>122.8424602</v>
      </c>
      <c r="HD19" s="30">
        <f t="shared" si="54"/>
        <v>122.8424602</v>
      </c>
      <c r="HE19" s="30">
        <f t="shared" si="55"/>
        <v>122.8424602</v>
      </c>
      <c r="HF19" s="30">
        <f t="shared" si="56"/>
        <v>122.8424602</v>
      </c>
      <c r="HG19" s="30">
        <f t="shared" si="57"/>
        <v>859.8972214</v>
      </c>
      <c r="HH19" s="30">
        <f t="shared" si="58"/>
        <v>614.212301</v>
      </c>
      <c r="HI19" s="27" t="str">
        <f t="shared" si="59"/>
        <v>#REF!</v>
      </c>
      <c r="HJ19" s="12"/>
      <c r="HK19" s="12">
        <v>0.0</v>
      </c>
      <c r="HL19" s="12">
        <v>0.0</v>
      </c>
      <c r="HM19" s="25" t="str">
        <f t="shared" si="60"/>
        <v>JUN</v>
      </c>
      <c r="HN19" s="12" t="str">
        <f t="shared" si="61"/>
        <v/>
      </c>
    </row>
    <row r="20" ht="13.5" customHeight="1">
      <c r="A20" s="12" t="str">
        <f t="shared" si="2"/>
        <v>212236</v>
      </c>
      <c r="B20" s="31" t="s">
        <v>0</v>
      </c>
      <c r="C20" s="32" t="s">
        <v>94</v>
      </c>
      <c r="D20" s="32" t="s">
        <v>95</v>
      </c>
      <c r="E20" s="33">
        <v>212236.0</v>
      </c>
      <c r="F20" s="31" t="s">
        <v>124</v>
      </c>
      <c r="G20" s="31" t="s">
        <v>97</v>
      </c>
      <c r="H20" s="34">
        <v>3069.0</v>
      </c>
      <c r="I20" s="31" t="s">
        <v>98</v>
      </c>
      <c r="J20" s="31" t="s">
        <v>125</v>
      </c>
      <c r="K20" s="34">
        <v>684000.0</v>
      </c>
      <c r="L20" s="17">
        <f t="shared" si="3"/>
        <v>324758.89</v>
      </c>
      <c r="M20" s="35">
        <v>0.4747936988304094</v>
      </c>
      <c r="N20" s="31">
        <v>0.39</v>
      </c>
      <c r="O20" s="17">
        <f t="shared" si="4"/>
        <v>266760</v>
      </c>
      <c r="P20" s="36" t="s">
        <v>104</v>
      </c>
      <c r="Q20" s="37">
        <v>0.38626284006723527</v>
      </c>
      <c r="R20" s="38">
        <f t="shared" si="5"/>
        <v>264203.7826</v>
      </c>
      <c r="S20" s="36">
        <f t="shared" si="6"/>
        <v>22016.98188</v>
      </c>
      <c r="T20" s="36">
        <f t="shared" si="7"/>
        <v>-60555.10739</v>
      </c>
      <c r="U20" s="39">
        <f t="shared" si="8"/>
        <v>-0.186461739</v>
      </c>
      <c r="V20" s="21">
        <v>0.3972651227954509</v>
      </c>
      <c r="W20" s="17">
        <f t="shared" si="9"/>
        <v>271729.344</v>
      </c>
      <c r="X20" s="36">
        <f t="shared" si="10"/>
        <v>22644.112</v>
      </c>
      <c r="Y20" s="17">
        <f t="shared" si="11"/>
        <v>-53029.54601</v>
      </c>
      <c r="Z20" s="20">
        <f t="shared" si="12"/>
        <v>-0.1632889742</v>
      </c>
      <c r="AA20" s="40">
        <v>0.12</v>
      </c>
      <c r="AB20" s="35">
        <f t="shared" si="13"/>
        <v>0.3399112993</v>
      </c>
      <c r="AC20" s="35">
        <f t="shared" si="14"/>
        <v>232499.3287</v>
      </c>
      <c r="AD20" s="35">
        <f t="shared" si="15"/>
        <v>-31704.45391</v>
      </c>
      <c r="AE20" s="41">
        <f t="shared" si="16"/>
        <v>-0.12</v>
      </c>
      <c r="AF20" s="18">
        <f t="shared" si="17"/>
        <v>-39230.0153</v>
      </c>
      <c r="AG20" s="24">
        <f t="shared" si="18"/>
        <v>-0.1443716557</v>
      </c>
      <c r="AH20" s="31" t="s">
        <v>105</v>
      </c>
      <c r="AI20" s="31"/>
      <c r="AJ20" s="33" t="str">
        <f t="shared" si="19"/>
        <v>BD COLETA</v>
      </c>
      <c r="AK20" s="35">
        <f t="shared" si="20"/>
        <v>0.39</v>
      </c>
      <c r="AL20" s="17">
        <f t="shared" si="21"/>
        <v>266760</v>
      </c>
      <c r="AM20" s="17">
        <f t="shared" si="22"/>
        <v>-4969.343992</v>
      </c>
      <c r="AN20" s="20">
        <f t="shared" si="23"/>
        <v>-0.01828784451</v>
      </c>
      <c r="AO20" s="35"/>
      <c r="AP20" s="35"/>
      <c r="AQ20" s="35"/>
      <c r="AR20" s="35">
        <v>0.39</v>
      </c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18"/>
      <c r="BT20" s="18"/>
      <c r="BU20" s="25"/>
      <c r="BV20" s="25"/>
      <c r="BW20" s="25"/>
      <c r="BX20" s="25"/>
      <c r="BY20" s="25"/>
      <c r="BZ20" s="25"/>
      <c r="CA20" s="25"/>
      <c r="CB20" s="26"/>
      <c r="CC20" s="26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25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25" t="str">
        <f t="shared" ref="FN20:FY20" si="78">$AD20*#REF!</f>
        <v>#REF!</v>
      </c>
      <c r="FO20" s="25" t="str">
        <f t="shared" si="78"/>
        <v>#REF!</v>
      </c>
      <c r="FP20" s="25" t="str">
        <f t="shared" si="78"/>
        <v>#REF!</v>
      </c>
      <c r="FQ20" s="25" t="str">
        <f t="shared" si="78"/>
        <v>#REF!</v>
      </c>
      <c r="FR20" s="25" t="str">
        <f t="shared" si="78"/>
        <v>#REF!</v>
      </c>
      <c r="FS20" s="25" t="str">
        <f t="shared" si="78"/>
        <v>#REF!</v>
      </c>
      <c r="FT20" s="25" t="str">
        <f t="shared" si="78"/>
        <v>#REF!</v>
      </c>
      <c r="FU20" s="25" t="str">
        <f t="shared" si="78"/>
        <v>#REF!</v>
      </c>
      <c r="FV20" s="25" t="str">
        <f t="shared" si="78"/>
        <v>#REF!</v>
      </c>
      <c r="FW20" s="25" t="str">
        <f t="shared" si="78"/>
        <v>#REF!</v>
      </c>
      <c r="FX20" s="25" t="str">
        <f t="shared" si="78"/>
        <v>#REF!</v>
      </c>
      <c r="FY20" s="25" t="str">
        <f t="shared" si="78"/>
        <v>#REF!</v>
      </c>
      <c r="FZ20" s="25" t="str">
        <f t="shared" si="25"/>
        <v>#REF!</v>
      </c>
      <c r="GA20" s="25" t="str">
        <f t="shared" si="26"/>
        <v>#REF!</v>
      </c>
      <c r="GB20" s="25" t="s">
        <v>76</v>
      </c>
      <c r="GC20" s="25">
        <f t="shared" si="27"/>
        <v>0</v>
      </c>
      <c r="GD20" s="25">
        <f t="shared" si="28"/>
        <v>0</v>
      </c>
      <c r="GE20" s="25">
        <f t="shared" si="29"/>
        <v>0</v>
      </c>
      <c r="GF20" s="25">
        <f t="shared" si="30"/>
        <v>0</v>
      </c>
      <c r="GG20" s="25">
        <f t="shared" si="31"/>
        <v>0</v>
      </c>
      <c r="GH20" s="25">
        <f t="shared" si="32"/>
        <v>-414.1119993</v>
      </c>
      <c r="GI20" s="25">
        <f t="shared" si="33"/>
        <v>-414.1119993</v>
      </c>
      <c r="GJ20" s="25">
        <f t="shared" si="34"/>
        <v>-414.1119993</v>
      </c>
      <c r="GK20" s="25">
        <f t="shared" si="35"/>
        <v>-414.1119993</v>
      </c>
      <c r="GL20" s="25">
        <f t="shared" si="36"/>
        <v>-414.1119993</v>
      </c>
      <c r="GM20" s="25">
        <f t="shared" si="37"/>
        <v>-414.1119993</v>
      </c>
      <c r="GN20" s="25">
        <f t="shared" si="38"/>
        <v>-414.1119993</v>
      </c>
      <c r="GO20" s="25">
        <f t="shared" si="39"/>
        <v>-2898.783995</v>
      </c>
      <c r="GP20" s="25">
        <f t="shared" si="40"/>
        <v>-2070.559997</v>
      </c>
      <c r="GQ20" s="27" t="str">
        <f t="shared" si="41"/>
        <v>#REF!</v>
      </c>
      <c r="GR20" s="28">
        <f t="shared" si="42"/>
        <v>-4969.343992</v>
      </c>
      <c r="GS20" s="29">
        <f t="shared" si="43"/>
        <v>-0.01828784451</v>
      </c>
      <c r="GT20" s="25" t="str">
        <f t="shared" si="44"/>
        <v>JUN</v>
      </c>
      <c r="GU20" s="25">
        <f t="shared" si="45"/>
        <v>0</v>
      </c>
      <c r="GV20" s="25">
        <f t="shared" si="46"/>
        <v>0</v>
      </c>
      <c r="GW20" s="25">
        <f t="shared" si="47"/>
        <v>0</v>
      </c>
      <c r="GX20" s="30">
        <f t="shared" si="48"/>
        <v>0</v>
      </c>
      <c r="GY20" s="30">
        <f t="shared" si="49"/>
        <v>0</v>
      </c>
      <c r="GZ20" s="30">
        <f t="shared" si="50"/>
        <v>-414.1119993</v>
      </c>
      <c r="HA20" s="30">
        <f t="shared" si="51"/>
        <v>-414.1119993</v>
      </c>
      <c r="HB20" s="30">
        <f t="shared" si="52"/>
        <v>-414.1119993</v>
      </c>
      <c r="HC20" s="30">
        <f t="shared" si="53"/>
        <v>-414.1119993</v>
      </c>
      <c r="HD20" s="30">
        <f t="shared" si="54"/>
        <v>-414.1119993</v>
      </c>
      <c r="HE20" s="30">
        <f t="shared" si="55"/>
        <v>-414.1119993</v>
      </c>
      <c r="HF20" s="30">
        <f t="shared" si="56"/>
        <v>-414.1119993</v>
      </c>
      <c r="HG20" s="30">
        <f t="shared" si="57"/>
        <v>-2898.783995</v>
      </c>
      <c r="HH20" s="30">
        <f t="shared" si="58"/>
        <v>-2070.559997</v>
      </c>
      <c r="HI20" s="27" t="str">
        <f t="shared" si="59"/>
        <v>#REF!</v>
      </c>
      <c r="HJ20" s="12"/>
      <c r="HK20" s="12">
        <v>0.0</v>
      </c>
      <c r="HL20" s="12">
        <v>0.0</v>
      </c>
      <c r="HM20" s="25" t="str">
        <f t="shared" si="60"/>
        <v>JUN</v>
      </c>
      <c r="HN20" s="12" t="str">
        <f t="shared" si="61"/>
        <v/>
      </c>
    </row>
    <row r="21" ht="13.5" customHeight="1">
      <c r="A21" s="12" t="str">
        <f t="shared" si="2"/>
        <v>152794</v>
      </c>
      <c r="B21" s="31" t="s">
        <v>0</v>
      </c>
      <c r="C21" s="32" t="s">
        <v>94</v>
      </c>
      <c r="D21" s="32" t="s">
        <v>95</v>
      </c>
      <c r="E21" s="33">
        <v>152794.0</v>
      </c>
      <c r="F21" s="31" t="s">
        <v>115</v>
      </c>
      <c r="G21" s="31" t="s">
        <v>117</v>
      </c>
      <c r="H21" s="34">
        <v>2245.0</v>
      </c>
      <c r="I21" s="31" t="s">
        <v>118</v>
      </c>
      <c r="J21" s="31" t="s">
        <v>104</v>
      </c>
      <c r="K21" s="34">
        <v>261010.0</v>
      </c>
      <c r="L21" s="17">
        <f t="shared" si="3"/>
        <v>318432.2</v>
      </c>
      <c r="M21" s="35">
        <v>1.22</v>
      </c>
      <c r="N21" s="31">
        <v>1.22</v>
      </c>
      <c r="O21" s="17">
        <f t="shared" si="4"/>
        <v>318432.2</v>
      </c>
      <c r="P21" s="36" t="s">
        <v>104</v>
      </c>
      <c r="Q21" s="37">
        <v>1.3888301368043565</v>
      </c>
      <c r="R21" s="38">
        <f t="shared" si="5"/>
        <v>362498.554</v>
      </c>
      <c r="S21" s="36">
        <f t="shared" si="6"/>
        <v>30208.21283</v>
      </c>
      <c r="T21" s="36">
        <f t="shared" si="7"/>
        <v>44066.35401</v>
      </c>
      <c r="U21" s="39">
        <f t="shared" si="8"/>
        <v>0.138385358</v>
      </c>
      <c r="V21" s="21">
        <v>1.508974319267002</v>
      </c>
      <c r="W21" s="17">
        <f t="shared" si="9"/>
        <v>393857.3871</v>
      </c>
      <c r="X21" s="36">
        <f t="shared" si="10"/>
        <v>32821.44892</v>
      </c>
      <c r="Y21" s="17">
        <f t="shared" si="11"/>
        <v>75425.18707</v>
      </c>
      <c r="Z21" s="20">
        <f t="shared" si="12"/>
        <v>0.2368641961</v>
      </c>
      <c r="AA21" s="40">
        <v>0.12</v>
      </c>
      <c r="AB21" s="35">
        <f t="shared" si="13"/>
        <v>1.22217052</v>
      </c>
      <c r="AC21" s="35">
        <f t="shared" si="14"/>
        <v>318998.7275</v>
      </c>
      <c r="AD21" s="35">
        <f t="shared" si="15"/>
        <v>-43499.82648</v>
      </c>
      <c r="AE21" s="41">
        <f t="shared" si="16"/>
        <v>-0.12</v>
      </c>
      <c r="AF21" s="18">
        <f t="shared" si="17"/>
        <v>-74858.65955</v>
      </c>
      <c r="AG21" s="24">
        <f t="shared" si="18"/>
        <v>-0.1900653942</v>
      </c>
      <c r="AH21" s="31" t="s">
        <v>105</v>
      </c>
      <c r="AI21" s="31"/>
      <c r="AJ21" s="33" t="str">
        <f t="shared" si="19"/>
        <v>BD COLETA</v>
      </c>
      <c r="AK21" s="35">
        <f t="shared" si="20"/>
        <v>1.22</v>
      </c>
      <c r="AL21" s="17">
        <f t="shared" si="21"/>
        <v>318432.2</v>
      </c>
      <c r="AM21" s="17">
        <f t="shared" si="22"/>
        <v>-75425.18707</v>
      </c>
      <c r="AN21" s="20">
        <f t="shared" si="23"/>
        <v>-0.191503802</v>
      </c>
      <c r="AO21" s="35"/>
      <c r="AP21" s="35"/>
      <c r="AQ21" s="35"/>
      <c r="AR21" s="35">
        <v>1.22</v>
      </c>
      <c r="AS21" s="35">
        <v>2.3</v>
      </c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18"/>
      <c r="BT21" s="18"/>
      <c r="BU21" s="25"/>
      <c r="BV21" s="25"/>
      <c r="BW21" s="25"/>
      <c r="BX21" s="25"/>
      <c r="BY21" s="25"/>
      <c r="BZ21" s="25"/>
      <c r="CA21" s="25"/>
      <c r="CB21" s="26"/>
      <c r="CC21" s="26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25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25" t="str">
        <f t="shared" ref="FN21:FY21" si="79">$AD21*#REF!</f>
        <v>#REF!</v>
      </c>
      <c r="FO21" s="25" t="str">
        <f t="shared" si="79"/>
        <v>#REF!</v>
      </c>
      <c r="FP21" s="25" t="str">
        <f t="shared" si="79"/>
        <v>#REF!</v>
      </c>
      <c r="FQ21" s="25" t="str">
        <f t="shared" si="79"/>
        <v>#REF!</v>
      </c>
      <c r="FR21" s="25" t="str">
        <f t="shared" si="79"/>
        <v>#REF!</v>
      </c>
      <c r="FS21" s="25" t="str">
        <f t="shared" si="79"/>
        <v>#REF!</v>
      </c>
      <c r="FT21" s="25" t="str">
        <f t="shared" si="79"/>
        <v>#REF!</v>
      </c>
      <c r="FU21" s="25" t="str">
        <f t="shared" si="79"/>
        <v>#REF!</v>
      </c>
      <c r="FV21" s="25" t="str">
        <f t="shared" si="79"/>
        <v>#REF!</v>
      </c>
      <c r="FW21" s="25" t="str">
        <f t="shared" si="79"/>
        <v>#REF!</v>
      </c>
      <c r="FX21" s="25" t="str">
        <f t="shared" si="79"/>
        <v>#REF!</v>
      </c>
      <c r="FY21" s="25" t="str">
        <f t="shared" si="79"/>
        <v>#REF!</v>
      </c>
      <c r="FZ21" s="25" t="str">
        <f t="shared" si="25"/>
        <v>#REF!</v>
      </c>
      <c r="GA21" s="25" t="str">
        <f t="shared" si="26"/>
        <v>#REF!</v>
      </c>
      <c r="GB21" s="25" t="s">
        <v>76</v>
      </c>
      <c r="GC21" s="25">
        <f t="shared" si="27"/>
        <v>0</v>
      </c>
      <c r="GD21" s="25">
        <f t="shared" si="28"/>
        <v>0</v>
      </c>
      <c r="GE21" s="25">
        <f t="shared" si="29"/>
        <v>0</v>
      </c>
      <c r="GF21" s="25">
        <f t="shared" si="30"/>
        <v>0</v>
      </c>
      <c r="GG21" s="25">
        <f t="shared" si="31"/>
        <v>0</v>
      </c>
      <c r="GH21" s="25">
        <f t="shared" si="32"/>
        <v>-6285.432256</v>
      </c>
      <c r="GI21" s="25">
        <f t="shared" si="33"/>
        <v>-6285.432256</v>
      </c>
      <c r="GJ21" s="25">
        <f t="shared" si="34"/>
        <v>-6285.432256</v>
      </c>
      <c r="GK21" s="25">
        <f t="shared" si="35"/>
        <v>-6285.432256</v>
      </c>
      <c r="GL21" s="25">
        <f t="shared" si="36"/>
        <v>-6285.432256</v>
      </c>
      <c r="GM21" s="25">
        <f t="shared" si="37"/>
        <v>-6285.432256</v>
      </c>
      <c r="GN21" s="25">
        <f t="shared" si="38"/>
        <v>-6285.432256</v>
      </c>
      <c r="GO21" s="25">
        <f t="shared" si="39"/>
        <v>-43998.02579</v>
      </c>
      <c r="GP21" s="25">
        <f t="shared" si="40"/>
        <v>-31427.16128</v>
      </c>
      <c r="GQ21" s="27" t="str">
        <f t="shared" si="41"/>
        <v>#REF!</v>
      </c>
      <c r="GR21" s="28">
        <f t="shared" si="42"/>
        <v>-75425.18707</v>
      </c>
      <c r="GS21" s="29">
        <f t="shared" si="43"/>
        <v>-0.191503802</v>
      </c>
      <c r="GT21" s="25" t="str">
        <f t="shared" si="44"/>
        <v>JUN</v>
      </c>
      <c r="GU21" s="25">
        <f t="shared" si="45"/>
        <v>0</v>
      </c>
      <c r="GV21" s="25">
        <f t="shared" si="46"/>
        <v>0</v>
      </c>
      <c r="GW21" s="25">
        <f t="shared" si="47"/>
        <v>0</v>
      </c>
      <c r="GX21" s="30">
        <f t="shared" si="48"/>
        <v>0</v>
      </c>
      <c r="GY21" s="30">
        <f t="shared" si="49"/>
        <v>0</v>
      </c>
      <c r="GZ21" s="30">
        <f t="shared" si="50"/>
        <v>-6285.432256</v>
      </c>
      <c r="HA21" s="30">
        <f t="shared" si="51"/>
        <v>-6285.432256</v>
      </c>
      <c r="HB21" s="30">
        <f t="shared" si="52"/>
        <v>-6285.432256</v>
      </c>
      <c r="HC21" s="30">
        <f t="shared" si="53"/>
        <v>-6285.432256</v>
      </c>
      <c r="HD21" s="30">
        <f t="shared" si="54"/>
        <v>-6285.432256</v>
      </c>
      <c r="HE21" s="30">
        <f t="shared" si="55"/>
        <v>-6285.432256</v>
      </c>
      <c r="HF21" s="30">
        <f t="shared" si="56"/>
        <v>-6285.432256</v>
      </c>
      <c r="HG21" s="30">
        <f t="shared" si="57"/>
        <v>-43998.02579</v>
      </c>
      <c r="HH21" s="30">
        <f t="shared" si="58"/>
        <v>-31427.16128</v>
      </c>
      <c r="HI21" s="27" t="str">
        <f t="shared" si="59"/>
        <v>#REF!</v>
      </c>
      <c r="HJ21" s="12"/>
      <c r="HK21" s="12">
        <v>0.0</v>
      </c>
      <c r="HL21" s="12">
        <v>0.0</v>
      </c>
      <c r="HM21" s="25" t="str">
        <f t="shared" si="60"/>
        <v>JUN</v>
      </c>
      <c r="HN21" s="12" t="str">
        <f t="shared" si="61"/>
        <v/>
      </c>
    </row>
    <row r="22" ht="13.5" customHeight="1">
      <c r="A22" s="12" t="str">
        <f t="shared" si="2"/>
        <v>213624</v>
      </c>
      <c r="B22" s="31" t="s">
        <v>0</v>
      </c>
      <c r="C22" s="32" t="s">
        <v>94</v>
      </c>
      <c r="D22" s="32" t="s">
        <v>101</v>
      </c>
      <c r="E22" s="33">
        <v>213624.0</v>
      </c>
      <c r="F22" s="31" t="s">
        <v>128</v>
      </c>
      <c r="G22" s="31" t="s">
        <v>117</v>
      </c>
      <c r="H22" s="34">
        <v>2245.0</v>
      </c>
      <c r="I22" s="31" t="s">
        <v>118</v>
      </c>
      <c r="J22" s="31" t="s">
        <v>129</v>
      </c>
      <c r="K22" s="34">
        <v>162400.0</v>
      </c>
      <c r="L22" s="17">
        <f t="shared" si="3"/>
        <v>314904.64</v>
      </c>
      <c r="M22" s="35">
        <v>1.9390679802955662</v>
      </c>
      <c r="N22" s="31">
        <v>195.04</v>
      </c>
      <c r="O22" s="17">
        <f t="shared" si="4"/>
        <v>31674496</v>
      </c>
      <c r="P22" s="36" t="s">
        <v>129</v>
      </c>
      <c r="Q22" s="37">
        <v>1.9595321387723985</v>
      </c>
      <c r="R22" s="38">
        <f t="shared" si="5"/>
        <v>318228.0193</v>
      </c>
      <c r="S22" s="36">
        <f t="shared" si="6"/>
        <v>26519.00161</v>
      </c>
      <c r="T22" s="36">
        <f t="shared" si="7"/>
        <v>3323.379337</v>
      </c>
      <c r="U22" s="39">
        <f t="shared" si="8"/>
        <v>0.01055360549</v>
      </c>
      <c r="V22" s="21">
        <v>1.9506406754709864</v>
      </c>
      <c r="W22" s="17">
        <f t="shared" si="9"/>
        <v>316784.0457</v>
      </c>
      <c r="X22" s="36">
        <f t="shared" si="10"/>
        <v>26398.67047</v>
      </c>
      <c r="Y22" s="17">
        <f t="shared" si="11"/>
        <v>1879.405696</v>
      </c>
      <c r="Z22" s="20">
        <f t="shared" si="12"/>
        <v>0.005968174037</v>
      </c>
      <c r="AA22" s="40">
        <v>0.12</v>
      </c>
      <c r="AB22" s="35">
        <f t="shared" si="13"/>
        <v>1.724388282</v>
      </c>
      <c r="AC22" s="35">
        <f t="shared" si="14"/>
        <v>280040.657</v>
      </c>
      <c r="AD22" s="35">
        <f t="shared" si="15"/>
        <v>-38187.36232</v>
      </c>
      <c r="AE22" s="41">
        <f t="shared" si="16"/>
        <v>-0.12</v>
      </c>
      <c r="AF22" s="18">
        <f t="shared" si="17"/>
        <v>-36743.38868</v>
      </c>
      <c r="AG22" s="24">
        <f t="shared" si="18"/>
        <v>-0.1159887601</v>
      </c>
      <c r="AH22" s="31" t="s">
        <v>105</v>
      </c>
      <c r="AI22" s="31"/>
      <c r="AJ22" s="33" t="str">
        <f t="shared" si="19"/>
        <v>SARSTEDT</v>
      </c>
      <c r="AK22" s="35">
        <f t="shared" si="20"/>
        <v>1.95</v>
      </c>
      <c r="AL22" s="17">
        <f t="shared" si="21"/>
        <v>316680</v>
      </c>
      <c r="AM22" s="17">
        <f t="shared" si="22"/>
        <v>-104.0456965</v>
      </c>
      <c r="AN22" s="20">
        <f t="shared" si="23"/>
        <v>-0.0003284436129</v>
      </c>
      <c r="AO22" s="35"/>
      <c r="AP22" s="35"/>
      <c r="AQ22" s="35"/>
      <c r="AR22" s="35"/>
      <c r="AS22" s="35"/>
      <c r="AT22" s="35"/>
      <c r="AU22" s="35"/>
      <c r="AV22" s="35">
        <v>1.95</v>
      </c>
      <c r="AW22" s="35" t="s">
        <v>41</v>
      </c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18"/>
      <c r="BT22" s="18"/>
      <c r="BU22" s="25"/>
      <c r="BV22" s="25"/>
      <c r="BW22" s="25"/>
      <c r="BX22" s="25"/>
      <c r="BY22" s="25">
        <v>3.63528</v>
      </c>
      <c r="BZ22" s="25" t="s">
        <v>130</v>
      </c>
      <c r="CA22" s="25"/>
      <c r="CB22" s="26"/>
      <c r="CC22" s="26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25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25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25" t="str">
        <f t="shared" ref="FN22:FY22" si="80">$AD22*#REF!</f>
        <v>#REF!</v>
      </c>
      <c r="FO22" s="25" t="str">
        <f t="shared" si="80"/>
        <v>#REF!</v>
      </c>
      <c r="FP22" s="25" t="str">
        <f t="shared" si="80"/>
        <v>#REF!</v>
      </c>
      <c r="FQ22" s="25" t="str">
        <f t="shared" si="80"/>
        <v>#REF!</v>
      </c>
      <c r="FR22" s="25" t="str">
        <f t="shared" si="80"/>
        <v>#REF!</v>
      </c>
      <c r="FS22" s="25" t="str">
        <f t="shared" si="80"/>
        <v>#REF!</v>
      </c>
      <c r="FT22" s="25" t="str">
        <f t="shared" si="80"/>
        <v>#REF!</v>
      </c>
      <c r="FU22" s="25" t="str">
        <f t="shared" si="80"/>
        <v>#REF!</v>
      </c>
      <c r="FV22" s="25" t="str">
        <f t="shared" si="80"/>
        <v>#REF!</v>
      </c>
      <c r="FW22" s="25" t="str">
        <f t="shared" si="80"/>
        <v>#REF!</v>
      </c>
      <c r="FX22" s="25" t="str">
        <f t="shared" si="80"/>
        <v>#REF!</v>
      </c>
      <c r="FY22" s="25" t="str">
        <f t="shared" si="80"/>
        <v>#REF!</v>
      </c>
      <c r="FZ22" s="25" t="str">
        <f t="shared" si="25"/>
        <v>#REF!</v>
      </c>
      <c r="GA22" s="25" t="str">
        <f t="shared" si="26"/>
        <v>#REF!</v>
      </c>
      <c r="GB22" s="25" t="s">
        <v>75</v>
      </c>
      <c r="GC22" s="25">
        <f t="shared" si="27"/>
        <v>0</v>
      </c>
      <c r="GD22" s="25">
        <f t="shared" si="28"/>
        <v>0</v>
      </c>
      <c r="GE22" s="25">
        <f t="shared" si="29"/>
        <v>0</v>
      </c>
      <c r="GF22" s="25">
        <f t="shared" si="30"/>
        <v>0</v>
      </c>
      <c r="GG22" s="25">
        <f t="shared" si="31"/>
        <v>-8.670474707</v>
      </c>
      <c r="GH22" s="25">
        <f t="shared" si="32"/>
        <v>-8.670474707</v>
      </c>
      <c r="GI22" s="25">
        <f t="shared" si="33"/>
        <v>-8.670474707</v>
      </c>
      <c r="GJ22" s="25">
        <f t="shared" si="34"/>
        <v>-8.670474707</v>
      </c>
      <c r="GK22" s="25">
        <f t="shared" si="35"/>
        <v>-8.670474707</v>
      </c>
      <c r="GL22" s="25">
        <f t="shared" si="36"/>
        <v>-8.670474707</v>
      </c>
      <c r="GM22" s="25">
        <f t="shared" si="37"/>
        <v>-8.670474707</v>
      </c>
      <c r="GN22" s="25">
        <f t="shared" si="38"/>
        <v>-8.670474707</v>
      </c>
      <c r="GO22" s="30">
        <f t="shared" si="39"/>
        <v>-69.36379766</v>
      </c>
      <c r="GP22" s="25">
        <f t="shared" si="40"/>
        <v>-34.68189883</v>
      </c>
      <c r="GQ22" s="27" t="str">
        <f t="shared" si="41"/>
        <v>#REF!</v>
      </c>
      <c r="GR22" s="28">
        <f t="shared" si="42"/>
        <v>-104.0456965</v>
      </c>
      <c r="GS22" s="29">
        <f t="shared" si="43"/>
        <v>-0.0003284436129</v>
      </c>
      <c r="GT22" s="25" t="str">
        <f t="shared" si="44"/>
        <v>MAI</v>
      </c>
      <c r="GU22" s="25">
        <f t="shared" si="45"/>
        <v>0</v>
      </c>
      <c r="GV22" s="25">
        <f t="shared" si="46"/>
        <v>0</v>
      </c>
      <c r="GW22" s="25">
        <f t="shared" si="47"/>
        <v>0</v>
      </c>
      <c r="GX22" s="30">
        <f t="shared" si="48"/>
        <v>0</v>
      </c>
      <c r="GY22" s="30">
        <f t="shared" si="49"/>
        <v>-8.670474707</v>
      </c>
      <c r="GZ22" s="30">
        <f t="shared" si="50"/>
        <v>-8.670474707</v>
      </c>
      <c r="HA22" s="30">
        <f t="shared" si="51"/>
        <v>-8.670474707</v>
      </c>
      <c r="HB22" s="30">
        <f t="shared" si="52"/>
        <v>-8.670474707</v>
      </c>
      <c r="HC22" s="30">
        <f t="shared" si="53"/>
        <v>-8.670474707</v>
      </c>
      <c r="HD22" s="30">
        <f t="shared" si="54"/>
        <v>-8.670474707</v>
      </c>
      <c r="HE22" s="30">
        <f t="shared" si="55"/>
        <v>-8.670474707</v>
      </c>
      <c r="HF22" s="30">
        <f t="shared" si="56"/>
        <v>-8.670474707</v>
      </c>
      <c r="HG22" s="30">
        <f t="shared" si="57"/>
        <v>-69.36379766</v>
      </c>
      <c r="HH22" s="30">
        <f t="shared" si="58"/>
        <v>-34.68189883</v>
      </c>
      <c r="HI22" s="27" t="str">
        <f t="shared" si="59"/>
        <v>#REF!</v>
      </c>
      <c r="HJ22" s="12"/>
      <c r="HK22" s="12">
        <v>0.0</v>
      </c>
      <c r="HL22" s="12">
        <v>0.0</v>
      </c>
      <c r="HM22" s="25" t="str">
        <f t="shared" si="60"/>
        <v>MAI</v>
      </c>
      <c r="HN22" s="12" t="str">
        <f t="shared" si="61"/>
        <v/>
      </c>
    </row>
    <row r="23" ht="13.5" customHeight="1">
      <c r="A23" s="12" t="str">
        <f t="shared" si="2"/>
        <v>212235</v>
      </c>
      <c r="B23" s="31" t="s">
        <v>0</v>
      </c>
      <c r="C23" s="32" t="s">
        <v>94</v>
      </c>
      <c r="D23" s="32" t="s">
        <v>95</v>
      </c>
      <c r="E23" s="33">
        <v>212235.0</v>
      </c>
      <c r="F23" s="31" t="s">
        <v>106</v>
      </c>
      <c r="G23" s="31" t="s">
        <v>112</v>
      </c>
      <c r="H23" s="34">
        <v>2045.0</v>
      </c>
      <c r="I23" s="31" t="s">
        <v>113</v>
      </c>
      <c r="J23" s="31" t="s">
        <v>103</v>
      </c>
      <c r="K23" s="34">
        <v>527900.0</v>
      </c>
      <c r="L23" s="17">
        <f t="shared" si="3"/>
        <v>311461</v>
      </c>
      <c r="M23" s="35">
        <v>0.59</v>
      </c>
      <c r="N23" s="31">
        <v>0.64</v>
      </c>
      <c r="O23" s="17">
        <f t="shared" si="4"/>
        <v>337856</v>
      </c>
      <c r="P23" s="36" t="s">
        <v>104</v>
      </c>
      <c r="Q23" s="37">
        <v>0.6280344806957802</v>
      </c>
      <c r="R23" s="38">
        <f t="shared" si="5"/>
        <v>331539.4024</v>
      </c>
      <c r="S23" s="36">
        <f t="shared" si="6"/>
        <v>27628.28353</v>
      </c>
      <c r="T23" s="36">
        <f t="shared" si="7"/>
        <v>20078.40236</v>
      </c>
      <c r="U23" s="39">
        <f t="shared" si="8"/>
        <v>0.06446522152</v>
      </c>
      <c r="V23" s="21">
        <v>0.6375582085103213</v>
      </c>
      <c r="W23" s="17">
        <f t="shared" si="9"/>
        <v>336566.9783</v>
      </c>
      <c r="X23" s="36">
        <f t="shared" si="10"/>
        <v>28047.24819</v>
      </c>
      <c r="Y23" s="17">
        <f t="shared" si="11"/>
        <v>25105.97827</v>
      </c>
      <c r="Z23" s="20">
        <f t="shared" si="12"/>
        <v>0.08060713307</v>
      </c>
      <c r="AA23" s="40">
        <v>0.12</v>
      </c>
      <c r="AB23" s="35">
        <f t="shared" si="13"/>
        <v>0.552670343</v>
      </c>
      <c r="AC23" s="35">
        <f t="shared" si="14"/>
        <v>291754.6741</v>
      </c>
      <c r="AD23" s="35">
        <f t="shared" si="15"/>
        <v>-39784.72828</v>
      </c>
      <c r="AE23" s="41">
        <f t="shared" si="16"/>
        <v>-0.12</v>
      </c>
      <c r="AF23" s="18">
        <f t="shared" si="17"/>
        <v>-44812.3042</v>
      </c>
      <c r="AG23" s="24">
        <f t="shared" si="18"/>
        <v>-0.1331452789</v>
      </c>
      <c r="AH23" s="31" t="s">
        <v>105</v>
      </c>
      <c r="AI23" s="31"/>
      <c r="AJ23" s="33" t="str">
        <f t="shared" si="19"/>
        <v>BD COLETA</v>
      </c>
      <c r="AK23" s="35">
        <f t="shared" si="20"/>
        <v>0.64</v>
      </c>
      <c r="AL23" s="17">
        <f t="shared" si="21"/>
        <v>337856</v>
      </c>
      <c r="AM23" s="17">
        <f t="shared" si="22"/>
        <v>1289.021727</v>
      </c>
      <c r="AN23" s="20">
        <f t="shared" si="23"/>
        <v>0.003829911461</v>
      </c>
      <c r="AO23" s="35"/>
      <c r="AP23" s="35"/>
      <c r="AQ23" s="35"/>
      <c r="AR23" s="35">
        <v>0.64</v>
      </c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18"/>
      <c r="BT23" s="18"/>
      <c r="BU23" s="25"/>
      <c r="BV23" s="25"/>
      <c r="BW23" s="25"/>
      <c r="BX23" s="25"/>
      <c r="BY23" s="25"/>
      <c r="BZ23" s="25"/>
      <c r="CA23" s="25"/>
      <c r="CB23" s="26"/>
      <c r="CC23" s="26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25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25" t="str">
        <f t="shared" ref="FN23:FY23" si="81">$AD23*#REF!</f>
        <v>#REF!</v>
      </c>
      <c r="FO23" s="25" t="str">
        <f t="shared" si="81"/>
        <v>#REF!</v>
      </c>
      <c r="FP23" s="25" t="str">
        <f t="shared" si="81"/>
        <v>#REF!</v>
      </c>
      <c r="FQ23" s="25" t="str">
        <f t="shared" si="81"/>
        <v>#REF!</v>
      </c>
      <c r="FR23" s="25" t="str">
        <f t="shared" si="81"/>
        <v>#REF!</v>
      </c>
      <c r="FS23" s="25" t="str">
        <f t="shared" si="81"/>
        <v>#REF!</v>
      </c>
      <c r="FT23" s="25" t="str">
        <f t="shared" si="81"/>
        <v>#REF!</v>
      </c>
      <c r="FU23" s="25" t="str">
        <f t="shared" si="81"/>
        <v>#REF!</v>
      </c>
      <c r="FV23" s="25" t="str">
        <f t="shared" si="81"/>
        <v>#REF!</v>
      </c>
      <c r="FW23" s="25" t="str">
        <f t="shared" si="81"/>
        <v>#REF!</v>
      </c>
      <c r="FX23" s="25" t="str">
        <f t="shared" si="81"/>
        <v>#REF!</v>
      </c>
      <c r="FY23" s="25" t="str">
        <f t="shared" si="81"/>
        <v>#REF!</v>
      </c>
      <c r="FZ23" s="25" t="str">
        <f t="shared" si="25"/>
        <v>#REF!</v>
      </c>
      <c r="GA23" s="25" t="str">
        <f t="shared" si="26"/>
        <v>#REF!</v>
      </c>
      <c r="GB23" s="25" t="s">
        <v>76</v>
      </c>
      <c r="GC23" s="25">
        <f t="shared" si="27"/>
        <v>0</v>
      </c>
      <c r="GD23" s="25">
        <f t="shared" si="28"/>
        <v>0</v>
      </c>
      <c r="GE23" s="25">
        <f t="shared" si="29"/>
        <v>0</v>
      </c>
      <c r="GF23" s="25">
        <f t="shared" si="30"/>
        <v>0</v>
      </c>
      <c r="GG23" s="25">
        <f t="shared" si="31"/>
        <v>0</v>
      </c>
      <c r="GH23" s="25">
        <f t="shared" si="32"/>
        <v>107.4184773</v>
      </c>
      <c r="GI23" s="25">
        <f t="shared" si="33"/>
        <v>107.4184773</v>
      </c>
      <c r="GJ23" s="25">
        <f t="shared" si="34"/>
        <v>107.4184773</v>
      </c>
      <c r="GK23" s="25">
        <f t="shared" si="35"/>
        <v>107.4184773</v>
      </c>
      <c r="GL23" s="25">
        <f t="shared" si="36"/>
        <v>107.4184773</v>
      </c>
      <c r="GM23" s="25">
        <f t="shared" si="37"/>
        <v>107.4184773</v>
      </c>
      <c r="GN23" s="25">
        <f t="shared" si="38"/>
        <v>107.4184773</v>
      </c>
      <c r="GO23" s="25">
        <f t="shared" si="39"/>
        <v>751.929341</v>
      </c>
      <c r="GP23" s="25">
        <f t="shared" si="40"/>
        <v>537.0923864</v>
      </c>
      <c r="GQ23" s="27" t="str">
        <f t="shared" si="41"/>
        <v>#REF!</v>
      </c>
      <c r="GR23" s="28">
        <f t="shared" si="42"/>
        <v>1289.021727</v>
      </c>
      <c r="GS23" s="29">
        <f t="shared" si="43"/>
        <v>0.003829911461</v>
      </c>
      <c r="GT23" s="25" t="str">
        <f t="shared" si="44"/>
        <v>JUN</v>
      </c>
      <c r="GU23" s="25">
        <f t="shared" si="45"/>
        <v>0</v>
      </c>
      <c r="GV23" s="25">
        <f t="shared" si="46"/>
        <v>0</v>
      </c>
      <c r="GW23" s="25">
        <f t="shared" si="47"/>
        <v>0</v>
      </c>
      <c r="GX23" s="30">
        <f t="shared" si="48"/>
        <v>0</v>
      </c>
      <c r="GY23" s="30">
        <f t="shared" si="49"/>
        <v>0</v>
      </c>
      <c r="GZ23" s="30">
        <f t="shared" si="50"/>
        <v>107.4184773</v>
      </c>
      <c r="HA23" s="30">
        <f t="shared" si="51"/>
        <v>107.4184773</v>
      </c>
      <c r="HB23" s="30">
        <f t="shared" si="52"/>
        <v>107.4184773</v>
      </c>
      <c r="HC23" s="30">
        <f t="shared" si="53"/>
        <v>107.4184773</v>
      </c>
      <c r="HD23" s="30">
        <f t="shared" si="54"/>
        <v>107.4184773</v>
      </c>
      <c r="HE23" s="30">
        <f t="shared" si="55"/>
        <v>107.4184773</v>
      </c>
      <c r="HF23" s="30">
        <f t="shared" si="56"/>
        <v>107.4184773</v>
      </c>
      <c r="HG23" s="30">
        <f t="shared" si="57"/>
        <v>751.929341</v>
      </c>
      <c r="HH23" s="30">
        <f t="shared" si="58"/>
        <v>537.0923864</v>
      </c>
      <c r="HI23" s="27" t="str">
        <f t="shared" si="59"/>
        <v>#REF!</v>
      </c>
      <c r="HJ23" s="12"/>
      <c r="HK23" s="12">
        <v>0.0</v>
      </c>
      <c r="HL23" s="12">
        <v>0.0</v>
      </c>
      <c r="HM23" s="25" t="str">
        <f t="shared" si="60"/>
        <v>JUN</v>
      </c>
      <c r="HN23" s="12" t="str">
        <f t="shared" si="61"/>
        <v/>
      </c>
    </row>
    <row r="24" ht="13.5" customHeight="1">
      <c r="A24" s="12" t="str">
        <f t="shared" si="2"/>
        <v>212235</v>
      </c>
      <c r="B24" s="31" t="s">
        <v>0</v>
      </c>
      <c r="C24" s="32" t="s">
        <v>94</v>
      </c>
      <c r="D24" s="32" t="s">
        <v>95</v>
      </c>
      <c r="E24" s="33">
        <v>212235.0</v>
      </c>
      <c r="F24" s="31" t="s">
        <v>106</v>
      </c>
      <c r="G24" s="31" t="s">
        <v>97</v>
      </c>
      <c r="H24" s="34">
        <v>2277.0</v>
      </c>
      <c r="I24" s="31" t="s">
        <v>131</v>
      </c>
      <c r="J24" s="31" t="s">
        <v>103</v>
      </c>
      <c r="K24" s="34">
        <v>527000.0</v>
      </c>
      <c r="L24" s="17">
        <f t="shared" si="3"/>
        <v>310930</v>
      </c>
      <c r="M24" s="35">
        <v>0.59</v>
      </c>
      <c r="N24" s="31">
        <v>0.64</v>
      </c>
      <c r="O24" s="17">
        <f t="shared" si="4"/>
        <v>337280</v>
      </c>
      <c r="P24" s="36" t="s">
        <v>104</v>
      </c>
      <c r="Q24" s="37">
        <v>0.6280344806957802</v>
      </c>
      <c r="R24" s="38">
        <f t="shared" si="5"/>
        <v>330974.1713</v>
      </c>
      <c r="S24" s="36">
        <f t="shared" si="6"/>
        <v>27581.18094</v>
      </c>
      <c r="T24" s="36">
        <f t="shared" si="7"/>
        <v>20044.17133</v>
      </c>
      <c r="U24" s="39">
        <f t="shared" si="8"/>
        <v>0.06446522152</v>
      </c>
      <c r="V24" s="21">
        <v>0.6375582085103213</v>
      </c>
      <c r="W24" s="17">
        <f t="shared" si="9"/>
        <v>335993.1759</v>
      </c>
      <c r="X24" s="36">
        <f t="shared" si="10"/>
        <v>27999.43132</v>
      </c>
      <c r="Y24" s="17">
        <f t="shared" si="11"/>
        <v>25063.17588</v>
      </c>
      <c r="Z24" s="20">
        <f t="shared" si="12"/>
        <v>0.08060713307</v>
      </c>
      <c r="AA24" s="40">
        <v>0.12</v>
      </c>
      <c r="AB24" s="35">
        <f t="shared" si="13"/>
        <v>0.552670343</v>
      </c>
      <c r="AC24" s="35">
        <f t="shared" si="14"/>
        <v>291257.2708</v>
      </c>
      <c r="AD24" s="35">
        <f t="shared" si="15"/>
        <v>-39716.90056</v>
      </c>
      <c r="AE24" s="41">
        <f t="shared" si="16"/>
        <v>-0.12</v>
      </c>
      <c r="AF24" s="18">
        <f t="shared" si="17"/>
        <v>-44735.90512</v>
      </c>
      <c r="AG24" s="24">
        <f t="shared" si="18"/>
        <v>-0.1331452789</v>
      </c>
      <c r="AH24" s="31" t="s">
        <v>105</v>
      </c>
      <c r="AI24" s="31"/>
      <c r="AJ24" s="33" t="str">
        <f t="shared" si="19"/>
        <v>BD COLETA</v>
      </c>
      <c r="AK24" s="35">
        <f t="shared" si="20"/>
        <v>0.64</v>
      </c>
      <c r="AL24" s="17">
        <f t="shared" si="21"/>
        <v>337280</v>
      </c>
      <c r="AM24" s="17">
        <f t="shared" si="22"/>
        <v>1286.824115</v>
      </c>
      <c r="AN24" s="20">
        <f t="shared" si="23"/>
        <v>0.003829911461</v>
      </c>
      <c r="AO24" s="35"/>
      <c r="AP24" s="35"/>
      <c r="AQ24" s="35"/>
      <c r="AR24" s="35">
        <v>0.64</v>
      </c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18"/>
      <c r="BT24" s="18"/>
      <c r="BU24" s="25"/>
      <c r="BV24" s="25"/>
      <c r="BW24" s="25"/>
      <c r="BX24" s="25"/>
      <c r="BY24" s="25"/>
      <c r="BZ24" s="25"/>
      <c r="CA24" s="25"/>
      <c r="CB24" s="26"/>
      <c r="CC24" s="26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25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25" t="str">
        <f t="shared" ref="FN24:FY24" si="82">$AD24*#REF!</f>
        <v>#REF!</v>
      </c>
      <c r="FO24" s="25" t="str">
        <f t="shared" si="82"/>
        <v>#REF!</v>
      </c>
      <c r="FP24" s="25" t="str">
        <f t="shared" si="82"/>
        <v>#REF!</v>
      </c>
      <c r="FQ24" s="25" t="str">
        <f t="shared" si="82"/>
        <v>#REF!</v>
      </c>
      <c r="FR24" s="25" t="str">
        <f t="shared" si="82"/>
        <v>#REF!</v>
      </c>
      <c r="FS24" s="25" t="str">
        <f t="shared" si="82"/>
        <v>#REF!</v>
      </c>
      <c r="FT24" s="25" t="str">
        <f t="shared" si="82"/>
        <v>#REF!</v>
      </c>
      <c r="FU24" s="25" t="str">
        <f t="shared" si="82"/>
        <v>#REF!</v>
      </c>
      <c r="FV24" s="25" t="str">
        <f t="shared" si="82"/>
        <v>#REF!</v>
      </c>
      <c r="FW24" s="25" t="str">
        <f t="shared" si="82"/>
        <v>#REF!</v>
      </c>
      <c r="FX24" s="25" t="str">
        <f t="shared" si="82"/>
        <v>#REF!</v>
      </c>
      <c r="FY24" s="25" t="str">
        <f t="shared" si="82"/>
        <v>#REF!</v>
      </c>
      <c r="FZ24" s="25" t="str">
        <f t="shared" si="25"/>
        <v>#REF!</v>
      </c>
      <c r="GA24" s="25" t="str">
        <f t="shared" si="26"/>
        <v>#REF!</v>
      </c>
      <c r="GB24" s="25" t="s">
        <v>76</v>
      </c>
      <c r="GC24" s="25">
        <f t="shared" si="27"/>
        <v>0</v>
      </c>
      <c r="GD24" s="25">
        <f t="shared" si="28"/>
        <v>0</v>
      </c>
      <c r="GE24" s="25">
        <f t="shared" si="29"/>
        <v>0</v>
      </c>
      <c r="GF24" s="25">
        <f t="shared" si="30"/>
        <v>0</v>
      </c>
      <c r="GG24" s="25">
        <f t="shared" si="31"/>
        <v>0</v>
      </c>
      <c r="GH24" s="25">
        <f t="shared" si="32"/>
        <v>107.2353429</v>
      </c>
      <c r="GI24" s="25">
        <f t="shared" si="33"/>
        <v>107.2353429</v>
      </c>
      <c r="GJ24" s="25">
        <f t="shared" si="34"/>
        <v>107.2353429</v>
      </c>
      <c r="GK24" s="25">
        <f t="shared" si="35"/>
        <v>107.2353429</v>
      </c>
      <c r="GL24" s="25">
        <f t="shared" si="36"/>
        <v>107.2353429</v>
      </c>
      <c r="GM24" s="25">
        <f t="shared" si="37"/>
        <v>107.2353429</v>
      </c>
      <c r="GN24" s="25">
        <f t="shared" si="38"/>
        <v>107.2353429</v>
      </c>
      <c r="GO24" s="25">
        <f t="shared" si="39"/>
        <v>750.6474005</v>
      </c>
      <c r="GP24" s="25">
        <f t="shared" si="40"/>
        <v>536.1767146</v>
      </c>
      <c r="GQ24" s="27" t="str">
        <f t="shared" si="41"/>
        <v>#REF!</v>
      </c>
      <c r="GR24" s="28">
        <f t="shared" si="42"/>
        <v>1286.824115</v>
      </c>
      <c r="GS24" s="29">
        <f t="shared" si="43"/>
        <v>0.003829911461</v>
      </c>
      <c r="GT24" s="25" t="str">
        <f t="shared" si="44"/>
        <v>JUN</v>
      </c>
      <c r="GU24" s="25">
        <f t="shared" si="45"/>
        <v>0</v>
      </c>
      <c r="GV24" s="25">
        <f t="shared" si="46"/>
        <v>0</v>
      </c>
      <c r="GW24" s="25">
        <f t="shared" si="47"/>
        <v>0</v>
      </c>
      <c r="GX24" s="30">
        <f t="shared" si="48"/>
        <v>0</v>
      </c>
      <c r="GY24" s="30">
        <f t="shared" si="49"/>
        <v>0</v>
      </c>
      <c r="GZ24" s="30">
        <f t="shared" si="50"/>
        <v>107.2353429</v>
      </c>
      <c r="HA24" s="30">
        <f t="shared" si="51"/>
        <v>107.2353429</v>
      </c>
      <c r="HB24" s="30">
        <f t="shared" si="52"/>
        <v>107.2353429</v>
      </c>
      <c r="HC24" s="30">
        <f t="shared" si="53"/>
        <v>107.2353429</v>
      </c>
      <c r="HD24" s="30">
        <f t="shared" si="54"/>
        <v>107.2353429</v>
      </c>
      <c r="HE24" s="30">
        <f t="shared" si="55"/>
        <v>107.2353429</v>
      </c>
      <c r="HF24" s="30">
        <f t="shared" si="56"/>
        <v>107.2353429</v>
      </c>
      <c r="HG24" s="30">
        <f t="shared" si="57"/>
        <v>750.6474005</v>
      </c>
      <c r="HH24" s="30">
        <f t="shared" si="58"/>
        <v>536.1767146</v>
      </c>
      <c r="HI24" s="27" t="str">
        <f t="shared" si="59"/>
        <v>#REF!</v>
      </c>
      <c r="HJ24" s="12"/>
      <c r="HK24" s="12">
        <v>0.0</v>
      </c>
      <c r="HL24" s="12">
        <v>0.0</v>
      </c>
      <c r="HM24" s="25" t="str">
        <f t="shared" si="60"/>
        <v>JUN</v>
      </c>
      <c r="HN24" s="12" t="str">
        <f t="shared" si="61"/>
        <v/>
      </c>
    </row>
    <row r="25" ht="13.5" customHeight="1">
      <c r="A25" s="12" t="str">
        <f t="shared" si="2"/>
        <v>212236</v>
      </c>
      <c r="B25" s="31" t="s">
        <v>0</v>
      </c>
      <c r="C25" s="32" t="s">
        <v>94</v>
      </c>
      <c r="D25" s="32" t="s">
        <v>95</v>
      </c>
      <c r="E25" s="33">
        <v>212236.0</v>
      </c>
      <c r="F25" s="31" t="s">
        <v>124</v>
      </c>
      <c r="G25" s="31" t="s">
        <v>117</v>
      </c>
      <c r="H25" s="34">
        <v>2245.0</v>
      </c>
      <c r="I25" s="31" t="s">
        <v>118</v>
      </c>
      <c r="J25" s="31" t="s">
        <v>104</v>
      </c>
      <c r="K25" s="34">
        <v>800000.0</v>
      </c>
      <c r="L25" s="17">
        <f t="shared" si="3"/>
        <v>295998.8</v>
      </c>
      <c r="M25" s="35">
        <v>0.3699985</v>
      </c>
      <c r="N25" s="31">
        <v>0.39</v>
      </c>
      <c r="O25" s="17">
        <f t="shared" si="4"/>
        <v>312000</v>
      </c>
      <c r="P25" s="36" t="s">
        <v>104</v>
      </c>
      <c r="Q25" s="37">
        <v>0.38626284006723527</v>
      </c>
      <c r="R25" s="38">
        <f t="shared" si="5"/>
        <v>309010.2721</v>
      </c>
      <c r="S25" s="36">
        <f t="shared" si="6"/>
        <v>25750.856</v>
      </c>
      <c r="T25" s="36">
        <f t="shared" si="7"/>
        <v>13011.47205</v>
      </c>
      <c r="U25" s="39">
        <f t="shared" si="8"/>
        <v>0.04395785406</v>
      </c>
      <c r="V25" s="21">
        <v>0.3972651227954509</v>
      </c>
      <c r="W25" s="17">
        <f t="shared" si="9"/>
        <v>317812.0982</v>
      </c>
      <c r="X25" s="36">
        <f t="shared" si="10"/>
        <v>26484.34152</v>
      </c>
      <c r="Y25" s="17">
        <f t="shared" si="11"/>
        <v>21813.29824</v>
      </c>
      <c r="Z25" s="20">
        <f t="shared" si="12"/>
        <v>0.07369387388</v>
      </c>
      <c r="AA25" s="40">
        <v>0.12</v>
      </c>
      <c r="AB25" s="35">
        <f t="shared" si="13"/>
        <v>0.3399112993</v>
      </c>
      <c r="AC25" s="35">
        <f t="shared" si="14"/>
        <v>271929.0394</v>
      </c>
      <c r="AD25" s="35">
        <f t="shared" si="15"/>
        <v>-37081.23265</v>
      </c>
      <c r="AE25" s="41">
        <f t="shared" si="16"/>
        <v>-0.12</v>
      </c>
      <c r="AF25" s="18">
        <f t="shared" si="17"/>
        <v>-45883.05883</v>
      </c>
      <c r="AG25" s="24">
        <f t="shared" si="18"/>
        <v>-0.1443716557</v>
      </c>
      <c r="AH25" s="31" t="s">
        <v>105</v>
      </c>
      <c r="AI25" s="31"/>
      <c r="AJ25" s="33" t="str">
        <f t="shared" si="19"/>
        <v>BD COLETA</v>
      </c>
      <c r="AK25" s="35">
        <f t="shared" si="20"/>
        <v>0.39</v>
      </c>
      <c r="AL25" s="17">
        <f t="shared" si="21"/>
        <v>312000</v>
      </c>
      <c r="AM25" s="17">
        <f t="shared" si="22"/>
        <v>-5812.098236</v>
      </c>
      <c r="AN25" s="20">
        <f t="shared" si="23"/>
        <v>-0.01828784451</v>
      </c>
      <c r="AO25" s="35"/>
      <c r="AP25" s="35"/>
      <c r="AQ25" s="35"/>
      <c r="AR25" s="35">
        <v>0.39</v>
      </c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18"/>
      <c r="BT25" s="18"/>
      <c r="BU25" s="25"/>
      <c r="BV25" s="25"/>
      <c r="BW25" s="25"/>
      <c r="BX25" s="25"/>
      <c r="BY25" s="25"/>
      <c r="BZ25" s="25"/>
      <c r="CA25" s="25"/>
      <c r="CB25" s="26"/>
      <c r="CC25" s="26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25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25" t="str">
        <f t="shared" ref="FN25:FY25" si="83">$AD25*#REF!</f>
        <v>#REF!</v>
      </c>
      <c r="FO25" s="25" t="str">
        <f t="shared" si="83"/>
        <v>#REF!</v>
      </c>
      <c r="FP25" s="25" t="str">
        <f t="shared" si="83"/>
        <v>#REF!</v>
      </c>
      <c r="FQ25" s="25" t="str">
        <f t="shared" si="83"/>
        <v>#REF!</v>
      </c>
      <c r="FR25" s="25" t="str">
        <f t="shared" si="83"/>
        <v>#REF!</v>
      </c>
      <c r="FS25" s="25" t="str">
        <f t="shared" si="83"/>
        <v>#REF!</v>
      </c>
      <c r="FT25" s="25" t="str">
        <f t="shared" si="83"/>
        <v>#REF!</v>
      </c>
      <c r="FU25" s="25" t="str">
        <f t="shared" si="83"/>
        <v>#REF!</v>
      </c>
      <c r="FV25" s="25" t="str">
        <f t="shared" si="83"/>
        <v>#REF!</v>
      </c>
      <c r="FW25" s="25" t="str">
        <f t="shared" si="83"/>
        <v>#REF!</v>
      </c>
      <c r="FX25" s="25" t="str">
        <f t="shared" si="83"/>
        <v>#REF!</v>
      </c>
      <c r="FY25" s="25" t="str">
        <f t="shared" si="83"/>
        <v>#REF!</v>
      </c>
      <c r="FZ25" s="25" t="str">
        <f t="shared" si="25"/>
        <v>#REF!</v>
      </c>
      <c r="GA25" s="25" t="str">
        <f t="shared" si="26"/>
        <v>#REF!</v>
      </c>
      <c r="GB25" s="25" t="s">
        <v>76</v>
      </c>
      <c r="GC25" s="25">
        <f t="shared" si="27"/>
        <v>0</v>
      </c>
      <c r="GD25" s="25">
        <f t="shared" si="28"/>
        <v>0</v>
      </c>
      <c r="GE25" s="25">
        <f t="shared" si="29"/>
        <v>0</v>
      </c>
      <c r="GF25" s="25">
        <f t="shared" si="30"/>
        <v>0</v>
      </c>
      <c r="GG25" s="25">
        <f t="shared" si="31"/>
        <v>0</v>
      </c>
      <c r="GH25" s="25">
        <f t="shared" si="32"/>
        <v>-484.3415197</v>
      </c>
      <c r="GI25" s="25">
        <f t="shared" si="33"/>
        <v>-484.3415197</v>
      </c>
      <c r="GJ25" s="25">
        <f t="shared" si="34"/>
        <v>-484.3415197</v>
      </c>
      <c r="GK25" s="25">
        <f t="shared" si="35"/>
        <v>-484.3415197</v>
      </c>
      <c r="GL25" s="25">
        <f t="shared" si="36"/>
        <v>-484.3415197</v>
      </c>
      <c r="GM25" s="25">
        <f t="shared" si="37"/>
        <v>-484.3415197</v>
      </c>
      <c r="GN25" s="25">
        <f t="shared" si="38"/>
        <v>-484.3415197</v>
      </c>
      <c r="GO25" s="25">
        <f t="shared" si="39"/>
        <v>-3390.390638</v>
      </c>
      <c r="GP25" s="25">
        <f t="shared" si="40"/>
        <v>-2421.707598</v>
      </c>
      <c r="GQ25" s="27" t="str">
        <f t="shared" si="41"/>
        <v>#REF!</v>
      </c>
      <c r="GR25" s="28">
        <f t="shared" si="42"/>
        <v>-5812.098236</v>
      </c>
      <c r="GS25" s="29">
        <f t="shared" si="43"/>
        <v>-0.01828784451</v>
      </c>
      <c r="GT25" s="25" t="str">
        <f t="shared" si="44"/>
        <v>JUN</v>
      </c>
      <c r="GU25" s="25">
        <f t="shared" si="45"/>
        <v>0</v>
      </c>
      <c r="GV25" s="25">
        <f t="shared" si="46"/>
        <v>0</v>
      </c>
      <c r="GW25" s="25">
        <f t="shared" si="47"/>
        <v>0</v>
      </c>
      <c r="GX25" s="30">
        <f t="shared" si="48"/>
        <v>0</v>
      </c>
      <c r="GY25" s="30">
        <f t="shared" si="49"/>
        <v>0</v>
      </c>
      <c r="GZ25" s="30">
        <f t="shared" si="50"/>
        <v>-484.3415197</v>
      </c>
      <c r="HA25" s="30">
        <f t="shared" si="51"/>
        <v>-484.3415197</v>
      </c>
      <c r="HB25" s="30">
        <f t="shared" si="52"/>
        <v>-484.3415197</v>
      </c>
      <c r="HC25" s="30">
        <f t="shared" si="53"/>
        <v>-484.3415197</v>
      </c>
      <c r="HD25" s="30">
        <f t="shared" si="54"/>
        <v>-484.3415197</v>
      </c>
      <c r="HE25" s="30">
        <f t="shared" si="55"/>
        <v>-484.3415197</v>
      </c>
      <c r="HF25" s="30">
        <f t="shared" si="56"/>
        <v>-484.3415197</v>
      </c>
      <c r="HG25" s="30">
        <f t="shared" si="57"/>
        <v>-3390.390638</v>
      </c>
      <c r="HH25" s="30">
        <f t="shared" si="58"/>
        <v>-2421.707598</v>
      </c>
      <c r="HI25" s="27" t="str">
        <f t="shared" si="59"/>
        <v>#REF!</v>
      </c>
      <c r="HJ25" s="12"/>
      <c r="HK25" s="12">
        <v>0.0</v>
      </c>
      <c r="HL25" s="12">
        <v>0.0</v>
      </c>
      <c r="HM25" s="25" t="str">
        <f t="shared" si="60"/>
        <v>JUN</v>
      </c>
      <c r="HN25" s="12" t="str">
        <f t="shared" si="61"/>
        <v/>
      </c>
    </row>
    <row r="26" ht="13.5" customHeight="1">
      <c r="A26" s="12" t="str">
        <f t="shared" si="2"/>
        <v>212235</v>
      </c>
      <c r="B26" s="31" t="s">
        <v>0</v>
      </c>
      <c r="C26" s="32" t="s">
        <v>94</v>
      </c>
      <c r="D26" s="32" t="s">
        <v>95</v>
      </c>
      <c r="E26" s="33">
        <v>212235.0</v>
      </c>
      <c r="F26" s="31" t="s">
        <v>106</v>
      </c>
      <c r="G26" s="31" t="s">
        <v>97</v>
      </c>
      <c r="H26" s="34">
        <v>2277.0</v>
      </c>
      <c r="I26" s="31" t="s">
        <v>131</v>
      </c>
      <c r="J26" s="31" t="s">
        <v>132</v>
      </c>
      <c r="K26" s="34">
        <v>300400.0</v>
      </c>
      <c r="L26" s="17">
        <f t="shared" si="3"/>
        <v>267356</v>
      </c>
      <c r="M26" s="35">
        <v>0.89</v>
      </c>
      <c r="N26" s="31">
        <v>0.64</v>
      </c>
      <c r="O26" s="17">
        <f t="shared" si="4"/>
        <v>192256</v>
      </c>
      <c r="P26" s="36" t="s">
        <v>104</v>
      </c>
      <c r="Q26" s="37">
        <v>0.6280344806957802</v>
      </c>
      <c r="R26" s="38">
        <f t="shared" si="5"/>
        <v>188661.558</v>
      </c>
      <c r="S26" s="36">
        <f t="shared" si="6"/>
        <v>15721.7965</v>
      </c>
      <c r="T26" s="36">
        <f t="shared" si="7"/>
        <v>-78694.442</v>
      </c>
      <c r="U26" s="39">
        <f t="shared" si="8"/>
        <v>-0.2943432801</v>
      </c>
      <c r="V26" s="21">
        <v>0.6375582085103213</v>
      </c>
      <c r="W26" s="17">
        <f t="shared" si="9"/>
        <v>191522.4858</v>
      </c>
      <c r="X26" s="36">
        <f t="shared" si="10"/>
        <v>15960.20715</v>
      </c>
      <c r="Y26" s="17">
        <f t="shared" si="11"/>
        <v>-75833.51416</v>
      </c>
      <c r="Z26" s="20">
        <f t="shared" si="12"/>
        <v>-0.2836424623</v>
      </c>
      <c r="AA26" s="40">
        <v>0.12</v>
      </c>
      <c r="AB26" s="35">
        <f t="shared" si="13"/>
        <v>0.552670343</v>
      </c>
      <c r="AC26" s="35">
        <f t="shared" si="14"/>
        <v>166022.171</v>
      </c>
      <c r="AD26" s="35">
        <f t="shared" si="15"/>
        <v>-22639.38696</v>
      </c>
      <c r="AE26" s="41">
        <f t="shared" si="16"/>
        <v>-0.12</v>
      </c>
      <c r="AF26" s="18">
        <f t="shared" si="17"/>
        <v>-25500.3148</v>
      </c>
      <c r="AG26" s="24">
        <f t="shared" si="18"/>
        <v>-0.1331452789</v>
      </c>
      <c r="AH26" s="31" t="s">
        <v>105</v>
      </c>
      <c r="AI26" s="31"/>
      <c r="AJ26" s="33" t="str">
        <f t="shared" si="19"/>
        <v>BD COLETA</v>
      </c>
      <c r="AK26" s="35">
        <f t="shared" si="20"/>
        <v>0.64</v>
      </c>
      <c r="AL26" s="17">
        <f t="shared" si="21"/>
        <v>192256</v>
      </c>
      <c r="AM26" s="17">
        <f t="shared" si="22"/>
        <v>733.5141635</v>
      </c>
      <c r="AN26" s="20">
        <f t="shared" si="23"/>
        <v>0.003829911461</v>
      </c>
      <c r="AO26" s="35"/>
      <c r="AP26" s="35"/>
      <c r="AQ26" s="35"/>
      <c r="AR26" s="35">
        <v>0.64</v>
      </c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18"/>
      <c r="BT26" s="18"/>
      <c r="BU26" s="25"/>
      <c r="BV26" s="25"/>
      <c r="BW26" s="25"/>
      <c r="BX26" s="25"/>
      <c r="BY26" s="25"/>
      <c r="BZ26" s="25"/>
      <c r="CA26" s="25"/>
      <c r="CB26" s="26"/>
      <c r="CC26" s="26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25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25" t="str">
        <f t="shared" ref="FN26:FY26" si="84">$AD26*#REF!</f>
        <v>#REF!</v>
      </c>
      <c r="FO26" s="25" t="str">
        <f t="shared" si="84"/>
        <v>#REF!</v>
      </c>
      <c r="FP26" s="25" t="str">
        <f t="shared" si="84"/>
        <v>#REF!</v>
      </c>
      <c r="FQ26" s="25" t="str">
        <f t="shared" si="84"/>
        <v>#REF!</v>
      </c>
      <c r="FR26" s="25" t="str">
        <f t="shared" si="84"/>
        <v>#REF!</v>
      </c>
      <c r="FS26" s="25" t="str">
        <f t="shared" si="84"/>
        <v>#REF!</v>
      </c>
      <c r="FT26" s="25" t="str">
        <f t="shared" si="84"/>
        <v>#REF!</v>
      </c>
      <c r="FU26" s="25" t="str">
        <f t="shared" si="84"/>
        <v>#REF!</v>
      </c>
      <c r="FV26" s="25" t="str">
        <f t="shared" si="84"/>
        <v>#REF!</v>
      </c>
      <c r="FW26" s="25" t="str">
        <f t="shared" si="84"/>
        <v>#REF!</v>
      </c>
      <c r="FX26" s="25" t="str">
        <f t="shared" si="84"/>
        <v>#REF!</v>
      </c>
      <c r="FY26" s="25" t="str">
        <f t="shared" si="84"/>
        <v>#REF!</v>
      </c>
      <c r="FZ26" s="25" t="str">
        <f t="shared" si="25"/>
        <v>#REF!</v>
      </c>
      <c r="GA26" s="25" t="str">
        <f t="shared" si="26"/>
        <v>#REF!</v>
      </c>
      <c r="GB26" s="25" t="s">
        <v>76</v>
      </c>
      <c r="GC26" s="25">
        <f t="shared" si="27"/>
        <v>0</v>
      </c>
      <c r="GD26" s="25">
        <f t="shared" si="28"/>
        <v>0</v>
      </c>
      <c r="GE26" s="25">
        <f t="shared" si="29"/>
        <v>0</v>
      </c>
      <c r="GF26" s="25">
        <f t="shared" si="30"/>
        <v>0</v>
      </c>
      <c r="GG26" s="25">
        <f t="shared" si="31"/>
        <v>0</v>
      </c>
      <c r="GH26" s="25">
        <f t="shared" si="32"/>
        <v>61.12618029</v>
      </c>
      <c r="GI26" s="25">
        <f t="shared" si="33"/>
        <v>61.12618029</v>
      </c>
      <c r="GJ26" s="25">
        <f t="shared" si="34"/>
        <v>61.12618029</v>
      </c>
      <c r="GK26" s="25">
        <f t="shared" si="35"/>
        <v>61.12618029</v>
      </c>
      <c r="GL26" s="25">
        <f t="shared" si="36"/>
        <v>61.12618029</v>
      </c>
      <c r="GM26" s="25">
        <f t="shared" si="37"/>
        <v>61.12618029</v>
      </c>
      <c r="GN26" s="25">
        <f t="shared" si="38"/>
        <v>61.12618029</v>
      </c>
      <c r="GO26" s="25">
        <f t="shared" si="39"/>
        <v>427.883262</v>
      </c>
      <c r="GP26" s="25">
        <f t="shared" si="40"/>
        <v>305.6309015</v>
      </c>
      <c r="GQ26" s="27" t="str">
        <f t="shared" si="41"/>
        <v>#REF!</v>
      </c>
      <c r="GR26" s="28">
        <f t="shared" si="42"/>
        <v>733.5141635</v>
      </c>
      <c r="GS26" s="29">
        <f t="shared" si="43"/>
        <v>0.003829911461</v>
      </c>
      <c r="GT26" s="25" t="str">
        <f t="shared" si="44"/>
        <v>JUN</v>
      </c>
      <c r="GU26" s="25">
        <f t="shared" si="45"/>
        <v>0</v>
      </c>
      <c r="GV26" s="25">
        <f t="shared" si="46"/>
        <v>0</v>
      </c>
      <c r="GW26" s="25">
        <f t="shared" si="47"/>
        <v>0</v>
      </c>
      <c r="GX26" s="30">
        <f t="shared" si="48"/>
        <v>0</v>
      </c>
      <c r="GY26" s="30">
        <f t="shared" si="49"/>
        <v>0</v>
      </c>
      <c r="GZ26" s="30">
        <f t="shared" si="50"/>
        <v>61.12618029</v>
      </c>
      <c r="HA26" s="30">
        <f t="shared" si="51"/>
        <v>61.12618029</v>
      </c>
      <c r="HB26" s="30">
        <f t="shared" si="52"/>
        <v>61.12618029</v>
      </c>
      <c r="HC26" s="30">
        <f t="shared" si="53"/>
        <v>61.12618029</v>
      </c>
      <c r="HD26" s="30">
        <f t="shared" si="54"/>
        <v>61.12618029</v>
      </c>
      <c r="HE26" s="30">
        <f t="shared" si="55"/>
        <v>61.12618029</v>
      </c>
      <c r="HF26" s="30">
        <f t="shared" si="56"/>
        <v>61.12618029</v>
      </c>
      <c r="HG26" s="30">
        <f t="shared" si="57"/>
        <v>427.883262</v>
      </c>
      <c r="HH26" s="30">
        <f t="shared" si="58"/>
        <v>305.6309015</v>
      </c>
      <c r="HI26" s="27" t="str">
        <f t="shared" si="59"/>
        <v>#REF!</v>
      </c>
      <c r="HJ26" s="12"/>
      <c r="HK26" s="12">
        <v>0.0</v>
      </c>
      <c r="HL26" s="12">
        <v>0.0</v>
      </c>
      <c r="HM26" s="25" t="str">
        <f t="shared" si="60"/>
        <v>JUN</v>
      </c>
      <c r="HN26" s="12" t="str">
        <f t="shared" si="61"/>
        <v/>
      </c>
    </row>
    <row r="27" ht="13.5" customHeight="1">
      <c r="A27" s="12" t="str">
        <f t="shared" si="2"/>
        <v>150420</v>
      </c>
      <c r="B27" s="31" t="s">
        <v>0</v>
      </c>
      <c r="C27" s="32" t="s">
        <v>94</v>
      </c>
      <c r="D27" s="32" t="s">
        <v>107</v>
      </c>
      <c r="E27" s="33">
        <v>150420.0</v>
      </c>
      <c r="F27" s="31" t="s">
        <v>108</v>
      </c>
      <c r="G27" s="31" t="s">
        <v>120</v>
      </c>
      <c r="H27" s="34">
        <v>2044.0</v>
      </c>
      <c r="I27" s="31" t="s">
        <v>121</v>
      </c>
      <c r="J27" s="31" t="s">
        <v>103</v>
      </c>
      <c r="K27" s="34">
        <v>376992.0</v>
      </c>
      <c r="L27" s="17">
        <f t="shared" si="3"/>
        <v>252585.84</v>
      </c>
      <c r="M27" s="35">
        <v>0.6700031830914184</v>
      </c>
      <c r="N27" s="31">
        <v>0.74</v>
      </c>
      <c r="O27" s="17">
        <f t="shared" si="4"/>
        <v>278974.08</v>
      </c>
      <c r="P27" s="36" t="s">
        <v>104</v>
      </c>
      <c r="Q27" s="37">
        <v>0.7702578840709202</v>
      </c>
      <c r="R27" s="38">
        <f t="shared" si="5"/>
        <v>290381.0602</v>
      </c>
      <c r="S27" s="36">
        <f t="shared" si="6"/>
        <v>24198.42169</v>
      </c>
      <c r="T27" s="36">
        <f t="shared" si="7"/>
        <v>37795.22023</v>
      </c>
      <c r="U27" s="39">
        <f t="shared" si="8"/>
        <v>0.1496331712</v>
      </c>
      <c r="V27" s="21">
        <v>0.7946273243714965</v>
      </c>
      <c r="W27" s="17">
        <f t="shared" si="9"/>
        <v>299568.1443</v>
      </c>
      <c r="X27" s="36">
        <f t="shared" si="10"/>
        <v>24964.01202</v>
      </c>
      <c r="Y27" s="17">
        <f t="shared" si="11"/>
        <v>46982.30427</v>
      </c>
      <c r="Z27" s="20">
        <f t="shared" si="12"/>
        <v>0.1860052973</v>
      </c>
      <c r="AA27" s="40">
        <v>0.12</v>
      </c>
      <c r="AB27" s="35">
        <f t="shared" si="13"/>
        <v>0.677826938</v>
      </c>
      <c r="AC27" s="35">
        <f t="shared" si="14"/>
        <v>255535.333</v>
      </c>
      <c r="AD27" s="35">
        <f t="shared" si="15"/>
        <v>-34845.72723</v>
      </c>
      <c r="AE27" s="41">
        <f t="shared" si="16"/>
        <v>-0.12</v>
      </c>
      <c r="AF27" s="18">
        <f t="shared" si="17"/>
        <v>-44032.81127</v>
      </c>
      <c r="AG27" s="24">
        <f t="shared" si="18"/>
        <v>-0.1469876291</v>
      </c>
      <c r="AH27" s="31" t="s">
        <v>105</v>
      </c>
      <c r="AI27" s="31"/>
      <c r="AJ27" s="33" t="str">
        <f t="shared" si="19"/>
        <v>BD COLETA</v>
      </c>
      <c r="AK27" s="35">
        <f t="shared" si="20"/>
        <v>0.74</v>
      </c>
      <c r="AL27" s="17">
        <f t="shared" si="21"/>
        <v>278974.08</v>
      </c>
      <c r="AM27" s="17">
        <f t="shared" si="22"/>
        <v>-20594.06427</v>
      </c>
      <c r="AN27" s="20">
        <f t="shared" si="23"/>
        <v>-0.06874584185</v>
      </c>
      <c r="AO27" s="35"/>
      <c r="AP27" s="35"/>
      <c r="AQ27" s="35"/>
      <c r="AR27" s="35">
        <v>0.74</v>
      </c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18"/>
      <c r="BT27" s="18"/>
      <c r="BU27" s="25"/>
      <c r="BV27" s="25"/>
      <c r="BW27" s="25"/>
      <c r="BX27" s="25"/>
      <c r="BY27" s="25">
        <v>1.30832</v>
      </c>
      <c r="BZ27" s="25" t="s">
        <v>109</v>
      </c>
      <c r="CA27" s="25"/>
      <c r="CB27" s="26"/>
      <c r="CC27" s="26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25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25" t="str">
        <f t="shared" ref="FN27:FY27" si="85">$AD27*#REF!</f>
        <v>#REF!</v>
      </c>
      <c r="FO27" s="25" t="str">
        <f t="shared" si="85"/>
        <v>#REF!</v>
      </c>
      <c r="FP27" s="25" t="str">
        <f t="shared" si="85"/>
        <v>#REF!</v>
      </c>
      <c r="FQ27" s="25" t="str">
        <f t="shared" si="85"/>
        <v>#REF!</v>
      </c>
      <c r="FR27" s="25" t="str">
        <f t="shared" si="85"/>
        <v>#REF!</v>
      </c>
      <c r="FS27" s="25" t="str">
        <f t="shared" si="85"/>
        <v>#REF!</v>
      </c>
      <c r="FT27" s="25" t="str">
        <f t="shared" si="85"/>
        <v>#REF!</v>
      </c>
      <c r="FU27" s="25" t="str">
        <f t="shared" si="85"/>
        <v>#REF!</v>
      </c>
      <c r="FV27" s="25" t="str">
        <f t="shared" si="85"/>
        <v>#REF!</v>
      </c>
      <c r="FW27" s="25" t="str">
        <f t="shared" si="85"/>
        <v>#REF!</v>
      </c>
      <c r="FX27" s="25" t="str">
        <f t="shared" si="85"/>
        <v>#REF!</v>
      </c>
      <c r="FY27" s="25" t="str">
        <f t="shared" si="85"/>
        <v>#REF!</v>
      </c>
      <c r="FZ27" s="25" t="str">
        <f t="shared" si="25"/>
        <v>#REF!</v>
      </c>
      <c r="GA27" s="25" t="str">
        <f t="shared" si="26"/>
        <v>#REF!</v>
      </c>
      <c r="GB27" s="25" t="s">
        <v>76</v>
      </c>
      <c r="GC27" s="25">
        <f t="shared" si="27"/>
        <v>0</v>
      </c>
      <c r="GD27" s="25">
        <f t="shared" si="28"/>
        <v>0</v>
      </c>
      <c r="GE27" s="25">
        <f t="shared" si="29"/>
        <v>0</v>
      </c>
      <c r="GF27" s="25">
        <f t="shared" si="30"/>
        <v>0</v>
      </c>
      <c r="GG27" s="25">
        <f t="shared" si="31"/>
        <v>0</v>
      </c>
      <c r="GH27" s="25">
        <f t="shared" si="32"/>
        <v>-1716.172022</v>
      </c>
      <c r="GI27" s="25">
        <f t="shared" si="33"/>
        <v>-1716.172022</v>
      </c>
      <c r="GJ27" s="25">
        <f t="shared" si="34"/>
        <v>-1716.172022</v>
      </c>
      <c r="GK27" s="25">
        <f t="shared" si="35"/>
        <v>-1716.172022</v>
      </c>
      <c r="GL27" s="25">
        <f t="shared" si="36"/>
        <v>-1716.172022</v>
      </c>
      <c r="GM27" s="25">
        <f t="shared" si="37"/>
        <v>-1716.172022</v>
      </c>
      <c r="GN27" s="25">
        <f t="shared" si="38"/>
        <v>-1716.172022</v>
      </c>
      <c r="GO27" s="25">
        <f t="shared" si="39"/>
        <v>-12013.20416</v>
      </c>
      <c r="GP27" s="25">
        <f t="shared" si="40"/>
        <v>-8580.860112</v>
      </c>
      <c r="GQ27" s="27" t="str">
        <f t="shared" si="41"/>
        <v>#REF!</v>
      </c>
      <c r="GR27" s="28">
        <f t="shared" si="42"/>
        <v>-20594.06427</v>
      </c>
      <c r="GS27" s="29">
        <f t="shared" si="43"/>
        <v>-0.06874584185</v>
      </c>
      <c r="GT27" s="25" t="str">
        <f t="shared" si="44"/>
        <v>JUN</v>
      </c>
      <c r="GU27" s="25">
        <f t="shared" si="45"/>
        <v>0</v>
      </c>
      <c r="GV27" s="25">
        <f t="shared" si="46"/>
        <v>0</v>
      </c>
      <c r="GW27" s="25">
        <f t="shared" si="47"/>
        <v>0</v>
      </c>
      <c r="GX27" s="30">
        <f t="shared" si="48"/>
        <v>0</v>
      </c>
      <c r="GY27" s="30">
        <f t="shared" si="49"/>
        <v>0</v>
      </c>
      <c r="GZ27" s="30">
        <f t="shared" si="50"/>
        <v>-1716.172022</v>
      </c>
      <c r="HA27" s="30">
        <f t="shared" si="51"/>
        <v>-1716.172022</v>
      </c>
      <c r="HB27" s="30">
        <f t="shared" si="52"/>
        <v>-1716.172022</v>
      </c>
      <c r="HC27" s="30">
        <f t="shared" si="53"/>
        <v>-1716.172022</v>
      </c>
      <c r="HD27" s="30">
        <f t="shared" si="54"/>
        <v>-1716.172022</v>
      </c>
      <c r="HE27" s="30">
        <f t="shared" si="55"/>
        <v>-1716.172022</v>
      </c>
      <c r="HF27" s="30">
        <f t="shared" si="56"/>
        <v>-1716.172022</v>
      </c>
      <c r="HG27" s="30">
        <f t="shared" si="57"/>
        <v>-12013.20416</v>
      </c>
      <c r="HH27" s="30">
        <f t="shared" si="58"/>
        <v>-8580.860112</v>
      </c>
      <c r="HI27" s="27" t="str">
        <f t="shared" si="59"/>
        <v>#REF!</v>
      </c>
      <c r="HJ27" s="12"/>
      <c r="HK27" s="12">
        <v>0.0</v>
      </c>
      <c r="HL27" s="12">
        <v>0.0</v>
      </c>
      <c r="HM27" s="25" t="str">
        <f t="shared" si="60"/>
        <v>JUN</v>
      </c>
      <c r="HN27" s="12" t="str">
        <f t="shared" si="61"/>
        <v/>
      </c>
    </row>
    <row r="28" ht="13.5" customHeight="1">
      <c r="A28" s="12" t="str">
        <f t="shared" si="2"/>
        <v>197223</v>
      </c>
      <c r="B28" s="31" t="s">
        <v>0</v>
      </c>
      <c r="C28" s="32" t="s">
        <v>94</v>
      </c>
      <c r="D28" s="32" t="s">
        <v>110</v>
      </c>
      <c r="E28" s="33">
        <v>197223.0</v>
      </c>
      <c r="F28" s="31" t="s">
        <v>116</v>
      </c>
      <c r="G28" s="31" t="s">
        <v>133</v>
      </c>
      <c r="H28" s="34">
        <v>2294.0</v>
      </c>
      <c r="I28" s="31" t="s">
        <v>134</v>
      </c>
      <c r="J28" s="31" t="s">
        <v>104</v>
      </c>
      <c r="K28" s="34">
        <v>66000.0</v>
      </c>
      <c r="L28" s="17">
        <f t="shared" si="3"/>
        <v>247500</v>
      </c>
      <c r="M28" s="35">
        <v>3.75</v>
      </c>
      <c r="N28" s="31">
        <v>3.57</v>
      </c>
      <c r="O28" s="17">
        <f t="shared" si="4"/>
        <v>235620</v>
      </c>
      <c r="P28" s="36" t="s">
        <v>104</v>
      </c>
      <c r="Q28" s="37">
        <v>4.0070957514267596</v>
      </c>
      <c r="R28" s="38">
        <f t="shared" si="5"/>
        <v>264468.3196</v>
      </c>
      <c r="S28" s="36">
        <f t="shared" si="6"/>
        <v>22039.02663</v>
      </c>
      <c r="T28" s="36">
        <f t="shared" si="7"/>
        <v>16968.31959</v>
      </c>
      <c r="U28" s="39">
        <f t="shared" si="8"/>
        <v>0.06855886705</v>
      </c>
      <c r="V28" s="21">
        <v>4.091477108518662</v>
      </c>
      <c r="W28" s="17">
        <f t="shared" si="9"/>
        <v>270037.4892</v>
      </c>
      <c r="X28" s="36">
        <f t="shared" si="10"/>
        <v>22503.1241</v>
      </c>
      <c r="Y28" s="17">
        <f t="shared" si="11"/>
        <v>22537.48916</v>
      </c>
      <c r="Z28" s="20">
        <f t="shared" si="12"/>
        <v>0.09106056227</v>
      </c>
      <c r="AA28" s="40">
        <v>0.12</v>
      </c>
      <c r="AB28" s="35">
        <f t="shared" si="13"/>
        <v>3.526244261</v>
      </c>
      <c r="AC28" s="35">
        <f t="shared" si="14"/>
        <v>232732.1212</v>
      </c>
      <c r="AD28" s="35">
        <f t="shared" si="15"/>
        <v>-31736.19835</v>
      </c>
      <c r="AE28" s="41">
        <f t="shared" si="16"/>
        <v>-0.12</v>
      </c>
      <c r="AF28" s="18">
        <f t="shared" si="17"/>
        <v>-37305.36792</v>
      </c>
      <c r="AG28" s="24">
        <f t="shared" si="18"/>
        <v>-0.1381488475</v>
      </c>
      <c r="AH28" s="31" t="s">
        <v>105</v>
      </c>
      <c r="AI28" s="31"/>
      <c r="AJ28" s="33" t="str">
        <f t="shared" si="19"/>
        <v>BD COLETA</v>
      </c>
      <c r="AK28" s="35">
        <f t="shared" si="20"/>
        <v>3.39</v>
      </c>
      <c r="AL28" s="17">
        <f t="shared" si="21"/>
        <v>223740</v>
      </c>
      <c r="AM28" s="17">
        <f t="shared" si="22"/>
        <v>-46297.48916</v>
      </c>
      <c r="AN28" s="20">
        <f t="shared" si="23"/>
        <v>-0.1714483767</v>
      </c>
      <c r="AO28" s="35"/>
      <c r="AP28" s="35"/>
      <c r="AQ28" s="35"/>
      <c r="AR28" s="35">
        <v>3.39</v>
      </c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>
        <v>3.68</v>
      </c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18"/>
      <c r="BT28" s="18"/>
      <c r="BU28" s="25"/>
      <c r="BV28" s="25"/>
      <c r="BW28" s="25"/>
      <c r="BX28" s="25"/>
      <c r="BY28" s="25">
        <v>10.54</v>
      </c>
      <c r="BZ28" s="25" t="s">
        <v>119</v>
      </c>
      <c r="CA28" s="25"/>
      <c r="CB28" s="26"/>
      <c r="CC28" s="26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25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25" t="str">
        <f t="shared" ref="FN28:FY28" si="86">$AD28*#REF!</f>
        <v>#REF!</v>
      </c>
      <c r="FO28" s="25" t="str">
        <f t="shared" si="86"/>
        <v>#REF!</v>
      </c>
      <c r="FP28" s="25" t="str">
        <f t="shared" si="86"/>
        <v>#REF!</v>
      </c>
      <c r="FQ28" s="25" t="str">
        <f t="shared" si="86"/>
        <v>#REF!</v>
      </c>
      <c r="FR28" s="25" t="str">
        <f t="shared" si="86"/>
        <v>#REF!</v>
      </c>
      <c r="FS28" s="25" t="str">
        <f t="shared" si="86"/>
        <v>#REF!</v>
      </c>
      <c r="FT28" s="25" t="str">
        <f t="shared" si="86"/>
        <v>#REF!</v>
      </c>
      <c r="FU28" s="25" t="str">
        <f t="shared" si="86"/>
        <v>#REF!</v>
      </c>
      <c r="FV28" s="25" t="str">
        <f t="shared" si="86"/>
        <v>#REF!</v>
      </c>
      <c r="FW28" s="25" t="str">
        <f t="shared" si="86"/>
        <v>#REF!</v>
      </c>
      <c r="FX28" s="25" t="str">
        <f t="shared" si="86"/>
        <v>#REF!</v>
      </c>
      <c r="FY28" s="25" t="str">
        <f t="shared" si="86"/>
        <v>#REF!</v>
      </c>
      <c r="FZ28" s="25" t="str">
        <f t="shared" si="25"/>
        <v>#REF!</v>
      </c>
      <c r="GA28" s="25" t="str">
        <f t="shared" si="26"/>
        <v>#REF!</v>
      </c>
      <c r="GB28" s="25" t="s">
        <v>76</v>
      </c>
      <c r="GC28" s="25">
        <f t="shared" si="27"/>
        <v>0</v>
      </c>
      <c r="GD28" s="25">
        <f t="shared" si="28"/>
        <v>0</v>
      </c>
      <c r="GE28" s="25">
        <f t="shared" si="29"/>
        <v>0</v>
      </c>
      <c r="GF28" s="25">
        <f t="shared" si="30"/>
        <v>0</v>
      </c>
      <c r="GG28" s="25">
        <f t="shared" si="31"/>
        <v>0</v>
      </c>
      <c r="GH28" s="25">
        <f t="shared" si="32"/>
        <v>-3858.124097</v>
      </c>
      <c r="GI28" s="25">
        <f t="shared" si="33"/>
        <v>-3858.124097</v>
      </c>
      <c r="GJ28" s="25">
        <f t="shared" si="34"/>
        <v>-3858.124097</v>
      </c>
      <c r="GK28" s="25">
        <f t="shared" si="35"/>
        <v>-3858.124097</v>
      </c>
      <c r="GL28" s="25">
        <f t="shared" si="36"/>
        <v>-3858.124097</v>
      </c>
      <c r="GM28" s="25">
        <f t="shared" si="37"/>
        <v>-3858.124097</v>
      </c>
      <c r="GN28" s="25">
        <f t="shared" si="38"/>
        <v>-3858.124097</v>
      </c>
      <c r="GO28" s="25">
        <f t="shared" si="39"/>
        <v>-27006.86868</v>
      </c>
      <c r="GP28" s="25">
        <f t="shared" si="40"/>
        <v>-19290.62048</v>
      </c>
      <c r="GQ28" s="27" t="str">
        <f t="shared" si="41"/>
        <v>#REF!</v>
      </c>
      <c r="GR28" s="28">
        <f t="shared" si="42"/>
        <v>-46297.48916</v>
      </c>
      <c r="GS28" s="29">
        <f t="shared" si="43"/>
        <v>-0.1714483767</v>
      </c>
      <c r="GT28" s="25" t="str">
        <f t="shared" si="44"/>
        <v>JUN</v>
      </c>
      <c r="GU28" s="25">
        <f t="shared" si="45"/>
        <v>0</v>
      </c>
      <c r="GV28" s="25">
        <f t="shared" si="46"/>
        <v>0</v>
      </c>
      <c r="GW28" s="25">
        <f t="shared" si="47"/>
        <v>0</v>
      </c>
      <c r="GX28" s="30">
        <f t="shared" si="48"/>
        <v>0</v>
      </c>
      <c r="GY28" s="30">
        <f t="shared" si="49"/>
        <v>0</v>
      </c>
      <c r="GZ28" s="30">
        <f t="shared" si="50"/>
        <v>-3858.124097</v>
      </c>
      <c r="HA28" s="30">
        <f t="shared" si="51"/>
        <v>-3858.124097</v>
      </c>
      <c r="HB28" s="30">
        <f t="shared" si="52"/>
        <v>-3858.124097</v>
      </c>
      <c r="HC28" s="30">
        <f t="shared" si="53"/>
        <v>-3858.124097</v>
      </c>
      <c r="HD28" s="30">
        <f t="shared" si="54"/>
        <v>-3858.124097</v>
      </c>
      <c r="HE28" s="30">
        <f t="shared" si="55"/>
        <v>-3858.124097</v>
      </c>
      <c r="HF28" s="30">
        <f t="shared" si="56"/>
        <v>-3858.124097</v>
      </c>
      <c r="HG28" s="30">
        <f t="shared" si="57"/>
        <v>-27006.86868</v>
      </c>
      <c r="HH28" s="30">
        <f t="shared" si="58"/>
        <v>-19290.62048</v>
      </c>
      <c r="HI28" s="27" t="str">
        <f t="shared" si="59"/>
        <v>#REF!</v>
      </c>
      <c r="HJ28" s="12"/>
      <c r="HK28" s="12">
        <v>0.0</v>
      </c>
      <c r="HL28" s="12">
        <v>0.0</v>
      </c>
      <c r="HM28" s="25" t="str">
        <f t="shared" si="60"/>
        <v>JUN</v>
      </c>
      <c r="HN28" s="12" t="str">
        <f t="shared" si="61"/>
        <v/>
      </c>
    </row>
    <row r="29" ht="13.5" customHeight="1">
      <c r="A29" s="12" t="str">
        <f t="shared" si="2"/>
        <v>150420</v>
      </c>
      <c r="B29" s="31" t="s">
        <v>0</v>
      </c>
      <c r="C29" s="32" t="s">
        <v>94</v>
      </c>
      <c r="D29" s="32" t="s">
        <v>107</v>
      </c>
      <c r="E29" s="33">
        <v>150420.0</v>
      </c>
      <c r="F29" s="31" t="s">
        <v>108</v>
      </c>
      <c r="G29" s="31" t="s">
        <v>117</v>
      </c>
      <c r="H29" s="34">
        <v>2245.0</v>
      </c>
      <c r="I29" s="31" t="s">
        <v>118</v>
      </c>
      <c r="J29" s="31" t="s">
        <v>104</v>
      </c>
      <c r="K29" s="34">
        <v>357376.0</v>
      </c>
      <c r="L29" s="17">
        <f t="shared" si="3"/>
        <v>241013.68</v>
      </c>
      <c r="M29" s="35">
        <v>0.674398056948424</v>
      </c>
      <c r="N29" s="31">
        <v>0.74</v>
      </c>
      <c r="O29" s="17">
        <f t="shared" si="4"/>
        <v>264458.24</v>
      </c>
      <c r="P29" s="36" t="s">
        <v>104</v>
      </c>
      <c r="Q29" s="37">
        <v>0.7702578840709202</v>
      </c>
      <c r="R29" s="38">
        <f t="shared" si="5"/>
        <v>275271.6816</v>
      </c>
      <c r="S29" s="36">
        <f t="shared" si="6"/>
        <v>22939.3068</v>
      </c>
      <c r="T29" s="36">
        <f t="shared" si="7"/>
        <v>34258.00158</v>
      </c>
      <c r="U29" s="39">
        <f t="shared" si="8"/>
        <v>0.1421413157</v>
      </c>
      <c r="V29" s="21">
        <v>0.7946273243714965</v>
      </c>
      <c r="W29" s="17">
        <f t="shared" si="9"/>
        <v>283980.7347</v>
      </c>
      <c r="X29" s="36">
        <f t="shared" si="10"/>
        <v>23665.06122</v>
      </c>
      <c r="Y29" s="17">
        <f t="shared" si="11"/>
        <v>42967.05467</v>
      </c>
      <c r="Z29" s="20">
        <f t="shared" si="12"/>
        <v>0.1782764143</v>
      </c>
      <c r="AA29" s="40">
        <v>0.12</v>
      </c>
      <c r="AB29" s="35">
        <f t="shared" si="13"/>
        <v>0.677826938</v>
      </c>
      <c r="AC29" s="35">
        <f t="shared" si="14"/>
        <v>242239.0798</v>
      </c>
      <c r="AD29" s="35">
        <f t="shared" si="15"/>
        <v>-33032.60179</v>
      </c>
      <c r="AE29" s="41">
        <f t="shared" si="16"/>
        <v>-0.12</v>
      </c>
      <c r="AF29" s="18">
        <f t="shared" si="17"/>
        <v>-41741.65489</v>
      </c>
      <c r="AG29" s="24">
        <f t="shared" si="18"/>
        <v>-0.1469876291</v>
      </c>
      <c r="AH29" s="31" t="s">
        <v>105</v>
      </c>
      <c r="AI29" s="31"/>
      <c r="AJ29" s="33" t="str">
        <f t="shared" si="19"/>
        <v>BD COLETA</v>
      </c>
      <c r="AK29" s="35">
        <f t="shared" si="20"/>
        <v>0.74</v>
      </c>
      <c r="AL29" s="17">
        <f t="shared" si="21"/>
        <v>264458.24</v>
      </c>
      <c r="AM29" s="17">
        <f t="shared" si="22"/>
        <v>-19522.49467</v>
      </c>
      <c r="AN29" s="20">
        <f t="shared" si="23"/>
        <v>-0.06874584185</v>
      </c>
      <c r="AO29" s="35"/>
      <c r="AP29" s="35"/>
      <c r="AQ29" s="35"/>
      <c r="AR29" s="35">
        <v>0.74</v>
      </c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18"/>
      <c r="BT29" s="18"/>
      <c r="BU29" s="25"/>
      <c r="BV29" s="25"/>
      <c r="BW29" s="25"/>
      <c r="BX29" s="25"/>
      <c r="BY29" s="25">
        <v>1.30832</v>
      </c>
      <c r="BZ29" s="25" t="s">
        <v>109</v>
      </c>
      <c r="CA29" s="25"/>
      <c r="CB29" s="26"/>
      <c r="CC29" s="26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25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25" t="str">
        <f t="shared" ref="FN29:FY29" si="87">$AD29*#REF!</f>
        <v>#REF!</v>
      </c>
      <c r="FO29" s="25" t="str">
        <f t="shared" si="87"/>
        <v>#REF!</v>
      </c>
      <c r="FP29" s="25" t="str">
        <f t="shared" si="87"/>
        <v>#REF!</v>
      </c>
      <c r="FQ29" s="25" t="str">
        <f t="shared" si="87"/>
        <v>#REF!</v>
      </c>
      <c r="FR29" s="25" t="str">
        <f t="shared" si="87"/>
        <v>#REF!</v>
      </c>
      <c r="FS29" s="25" t="str">
        <f t="shared" si="87"/>
        <v>#REF!</v>
      </c>
      <c r="FT29" s="25" t="str">
        <f t="shared" si="87"/>
        <v>#REF!</v>
      </c>
      <c r="FU29" s="25" t="str">
        <f t="shared" si="87"/>
        <v>#REF!</v>
      </c>
      <c r="FV29" s="25" t="str">
        <f t="shared" si="87"/>
        <v>#REF!</v>
      </c>
      <c r="FW29" s="25" t="str">
        <f t="shared" si="87"/>
        <v>#REF!</v>
      </c>
      <c r="FX29" s="25" t="str">
        <f t="shared" si="87"/>
        <v>#REF!</v>
      </c>
      <c r="FY29" s="25" t="str">
        <f t="shared" si="87"/>
        <v>#REF!</v>
      </c>
      <c r="FZ29" s="25" t="str">
        <f t="shared" si="25"/>
        <v>#REF!</v>
      </c>
      <c r="GA29" s="25" t="str">
        <f t="shared" si="26"/>
        <v>#REF!</v>
      </c>
      <c r="GB29" s="25" t="s">
        <v>76</v>
      </c>
      <c r="GC29" s="25">
        <f t="shared" si="27"/>
        <v>0</v>
      </c>
      <c r="GD29" s="25">
        <f t="shared" si="28"/>
        <v>0</v>
      </c>
      <c r="GE29" s="25">
        <f t="shared" si="29"/>
        <v>0</v>
      </c>
      <c r="GF29" s="25">
        <f t="shared" si="30"/>
        <v>0</v>
      </c>
      <c r="GG29" s="25">
        <f t="shared" si="31"/>
        <v>0</v>
      </c>
      <c r="GH29" s="25">
        <f t="shared" si="32"/>
        <v>-1626.874556</v>
      </c>
      <c r="GI29" s="25">
        <f t="shared" si="33"/>
        <v>-1626.874556</v>
      </c>
      <c r="GJ29" s="25">
        <f t="shared" si="34"/>
        <v>-1626.874556</v>
      </c>
      <c r="GK29" s="25">
        <f t="shared" si="35"/>
        <v>-1626.874556</v>
      </c>
      <c r="GL29" s="25">
        <f t="shared" si="36"/>
        <v>-1626.874556</v>
      </c>
      <c r="GM29" s="25">
        <f t="shared" si="37"/>
        <v>-1626.874556</v>
      </c>
      <c r="GN29" s="25">
        <f t="shared" si="38"/>
        <v>-1626.874556</v>
      </c>
      <c r="GO29" s="25">
        <f t="shared" si="39"/>
        <v>-11388.12189</v>
      </c>
      <c r="GP29" s="25">
        <f t="shared" si="40"/>
        <v>-8134.372781</v>
      </c>
      <c r="GQ29" s="27" t="str">
        <f t="shared" si="41"/>
        <v>#REF!</v>
      </c>
      <c r="GR29" s="28">
        <f t="shared" si="42"/>
        <v>-19522.49467</v>
      </c>
      <c r="GS29" s="29">
        <f t="shared" si="43"/>
        <v>-0.06874584185</v>
      </c>
      <c r="GT29" s="25" t="str">
        <f t="shared" si="44"/>
        <v>JUN</v>
      </c>
      <c r="GU29" s="25">
        <f t="shared" si="45"/>
        <v>0</v>
      </c>
      <c r="GV29" s="25">
        <f t="shared" si="46"/>
        <v>0</v>
      </c>
      <c r="GW29" s="25">
        <f t="shared" si="47"/>
        <v>0</v>
      </c>
      <c r="GX29" s="30">
        <f t="shared" si="48"/>
        <v>0</v>
      </c>
      <c r="GY29" s="30">
        <f t="shared" si="49"/>
        <v>0</v>
      </c>
      <c r="GZ29" s="30">
        <f t="shared" si="50"/>
        <v>-1626.874556</v>
      </c>
      <c r="HA29" s="30">
        <f t="shared" si="51"/>
        <v>-1626.874556</v>
      </c>
      <c r="HB29" s="30">
        <f t="shared" si="52"/>
        <v>-1626.874556</v>
      </c>
      <c r="HC29" s="30">
        <f t="shared" si="53"/>
        <v>-1626.874556</v>
      </c>
      <c r="HD29" s="30">
        <f t="shared" si="54"/>
        <v>-1626.874556</v>
      </c>
      <c r="HE29" s="30">
        <f t="shared" si="55"/>
        <v>-1626.874556</v>
      </c>
      <c r="HF29" s="30">
        <f t="shared" si="56"/>
        <v>-1626.874556</v>
      </c>
      <c r="HG29" s="30">
        <f t="shared" si="57"/>
        <v>-11388.12189</v>
      </c>
      <c r="HH29" s="30">
        <f t="shared" si="58"/>
        <v>-8134.372781</v>
      </c>
      <c r="HI29" s="27" t="str">
        <f t="shared" si="59"/>
        <v>#REF!</v>
      </c>
      <c r="HJ29" s="12"/>
      <c r="HK29" s="12">
        <v>0.0</v>
      </c>
      <c r="HL29" s="12">
        <v>0.0</v>
      </c>
      <c r="HM29" s="25" t="str">
        <f t="shared" si="60"/>
        <v>JUN</v>
      </c>
      <c r="HN29" s="12" t="str">
        <f t="shared" si="61"/>
        <v/>
      </c>
    </row>
    <row r="30" ht="13.5" customHeight="1">
      <c r="A30" s="12" t="str">
        <f t="shared" si="2"/>
        <v>212235</v>
      </c>
      <c r="B30" s="31" t="s">
        <v>0</v>
      </c>
      <c r="C30" s="32" t="s">
        <v>94</v>
      </c>
      <c r="D30" s="32" t="s">
        <v>95</v>
      </c>
      <c r="E30" s="33">
        <v>212235.0</v>
      </c>
      <c r="F30" s="31" t="s">
        <v>106</v>
      </c>
      <c r="G30" s="31" t="s">
        <v>120</v>
      </c>
      <c r="H30" s="34">
        <v>2044.0</v>
      </c>
      <c r="I30" s="31" t="s">
        <v>121</v>
      </c>
      <c r="J30" s="31" t="s">
        <v>132</v>
      </c>
      <c r="K30" s="34">
        <v>252700.0</v>
      </c>
      <c r="L30" s="17">
        <f t="shared" si="3"/>
        <v>224903</v>
      </c>
      <c r="M30" s="35">
        <v>0.89</v>
      </c>
      <c r="N30" s="31">
        <v>0.64</v>
      </c>
      <c r="O30" s="17">
        <f t="shared" si="4"/>
        <v>161728</v>
      </c>
      <c r="P30" s="36" t="s">
        <v>104</v>
      </c>
      <c r="Q30" s="37">
        <v>0.6280344806957802</v>
      </c>
      <c r="R30" s="38">
        <f t="shared" si="5"/>
        <v>158704.3133</v>
      </c>
      <c r="S30" s="36">
        <f t="shared" si="6"/>
        <v>13225.35944</v>
      </c>
      <c r="T30" s="36">
        <f t="shared" si="7"/>
        <v>-66198.68673</v>
      </c>
      <c r="U30" s="39">
        <f t="shared" si="8"/>
        <v>-0.2943432801</v>
      </c>
      <c r="V30" s="21">
        <v>0.6375582085103213</v>
      </c>
      <c r="W30" s="17">
        <f t="shared" si="9"/>
        <v>161110.9593</v>
      </c>
      <c r="X30" s="36">
        <f t="shared" si="10"/>
        <v>13425.91327</v>
      </c>
      <c r="Y30" s="17">
        <f t="shared" si="11"/>
        <v>-63792.04071</v>
      </c>
      <c r="Z30" s="20">
        <f t="shared" si="12"/>
        <v>-0.2836424623</v>
      </c>
      <c r="AA30" s="40">
        <v>0.12</v>
      </c>
      <c r="AB30" s="35">
        <f t="shared" si="13"/>
        <v>0.552670343</v>
      </c>
      <c r="AC30" s="35">
        <f t="shared" si="14"/>
        <v>139659.7957</v>
      </c>
      <c r="AD30" s="35">
        <f t="shared" si="15"/>
        <v>-19044.51759</v>
      </c>
      <c r="AE30" s="41">
        <f t="shared" si="16"/>
        <v>-0.12</v>
      </c>
      <c r="AF30" s="18">
        <f t="shared" si="17"/>
        <v>-21451.16361</v>
      </c>
      <c r="AG30" s="24">
        <f t="shared" si="18"/>
        <v>-0.1331452789</v>
      </c>
      <c r="AH30" s="31" t="s">
        <v>105</v>
      </c>
      <c r="AI30" s="31"/>
      <c r="AJ30" s="33" t="str">
        <f t="shared" si="19"/>
        <v>BD COLETA</v>
      </c>
      <c r="AK30" s="35">
        <f t="shared" si="20"/>
        <v>0.64</v>
      </c>
      <c r="AL30" s="17">
        <f t="shared" si="21"/>
        <v>161728</v>
      </c>
      <c r="AM30" s="17">
        <f t="shared" si="22"/>
        <v>617.0407094</v>
      </c>
      <c r="AN30" s="20">
        <f t="shared" si="23"/>
        <v>0.003829911461</v>
      </c>
      <c r="AO30" s="35"/>
      <c r="AP30" s="35"/>
      <c r="AQ30" s="35"/>
      <c r="AR30" s="35">
        <v>0.64</v>
      </c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18"/>
      <c r="BT30" s="18"/>
      <c r="BU30" s="25"/>
      <c r="BV30" s="25"/>
      <c r="BW30" s="25"/>
      <c r="BX30" s="25"/>
      <c r="BY30" s="25"/>
      <c r="BZ30" s="25"/>
      <c r="CA30" s="25"/>
      <c r="CB30" s="26"/>
      <c r="CC30" s="26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25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25" t="str">
        <f t="shared" ref="FN30:FY30" si="88">$AD30*#REF!</f>
        <v>#REF!</v>
      </c>
      <c r="FO30" s="25" t="str">
        <f t="shared" si="88"/>
        <v>#REF!</v>
      </c>
      <c r="FP30" s="25" t="str">
        <f t="shared" si="88"/>
        <v>#REF!</v>
      </c>
      <c r="FQ30" s="25" t="str">
        <f t="shared" si="88"/>
        <v>#REF!</v>
      </c>
      <c r="FR30" s="25" t="str">
        <f t="shared" si="88"/>
        <v>#REF!</v>
      </c>
      <c r="FS30" s="25" t="str">
        <f t="shared" si="88"/>
        <v>#REF!</v>
      </c>
      <c r="FT30" s="25" t="str">
        <f t="shared" si="88"/>
        <v>#REF!</v>
      </c>
      <c r="FU30" s="25" t="str">
        <f t="shared" si="88"/>
        <v>#REF!</v>
      </c>
      <c r="FV30" s="25" t="str">
        <f t="shared" si="88"/>
        <v>#REF!</v>
      </c>
      <c r="FW30" s="25" t="str">
        <f t="shared" si="88"/>
        <v>#REF!</v>
      </c>
      <c r="FX30" s="25" t="str">
        <f t="shared" si="88"/>
        <v>#REF!</v>
      </c>
      <c r="FY30" s="25" t="str">
        <f t="shared" si="88"/>
        <v>#REF!</v>
      </c>
      <c r="FZ30" s="25" t="str">
        <f t="shared" si="25"/>
        <v>#REF!</v>
      </c>
      <c r="GA30" s="25" t="str">
        <f t="shared" si="26"/>
        <v>#REF!</v>
      </c>
      <c r="GB30" s="25" t="s">
        <v>76</v>
      </c>
      <c r="GC30" s="25">
        <f t="shared" si="27"/>
        <v>0</v>
      </c>
      <c r="GD30" s="25">
        <f t="shared" si="28"/>
        <v>0</v>
      </c>
      <c r="GE30" s="25">
        <f t="shared" si="29"/>
        <v>0</v>
      </c>
      <c r="GF30" s="25">
        <f t="shared" si="30"/>
        <v>0</v>
      </c>
      <c r="GG30" s="25">
        <f t="shared" si="31"/>
        <v>0</v>
      </c>
      <c r="GH30" s="25">
        <f t="shared" si="32"/>
        <v>51.42005912</v>
      </c>
      <c r="GI30" s="25">
        <f t="shared" si="33"/>
        <v>51.42005912</v>
      </c>
      <c r="GJ30" s="25">
        <f t="shared" si="34"/>
        <v>51.42005912</v>
      </c>
      <c r="GK30" s="25">
        <f t="shared" si="35"/>
        <v>51.42005912</v>
      </c>
      <c r="GL30" s="25">
        <f t="shared" si="36"/>
        <v>51.42005912</v>
      </c>
      <c r="GM30" s="25">
        <f t="shared" si="37"/>
        <v>51.42005912</v>
      </c>
      <c r="GN30" s="25">
        <f t="shared" si="38"/>
        <v>51.42005912</v>
      </c>
      <c r="GO30" s="25">
        <f t="shared" si="39"/>
        <v>359.9404138</v>
      </c>
      <c r="GP30" s="25">
        <f t="shared" si="40"/>
        <v>257.1002956</v>
      </c>
      <c r="GQ30" s="27" t="str">
        <f t="shared" si="41"/>
        <v>#REF!</v>
      </c>
      <c r="GR30" s="28">
        <f t="shared" si="42"/>
        <v>617.0407094</v>
      </c>
      <c r="GS30" s="29">
        <f t="shared" si="43"/>
        <v>0.003829911461</v>
      </c>
      <c r="GT30" s="25" t="str">
        <f t="shared" si="44"/>
        <v>JUN</v>
      </c>
      <c r="GU30" s="25">
        <f t="shared" si="45"/>
        <v>0</v>
      </c>
      <c r="GV30" s="25">
        <f t="shared" si="46"/>
        <v>0</v>
      </c>
      <c r="GW30" s="25">
        <f t="shared" si="47"/>
        <v>0</v>
      </c>
      <c r="GX30" s="30">
        <f t="shared" si="48"/>
        <v>0</v>
      </c>
      <c r="GY30" s="30">
        <f t="shared" si="49"/>
        <v>0</v>
      </c>
      <c r="GZ30" s="30">
        <f t="shared" si="50"/>
        <v>51.42005912</v>
      </c>
      <c r="HA30" s="30">
        <f t="shared" si="51"/>
        <v>51.42005912</v>
      </c>
      <c r="HB30" s="30">
        <f t="shared" si="52"/>
        <v>51.42005912</v>
      </c>
      <c r="HC30" s="30">
        <f t="shared" si="53"/>
        <v>51.42005912</v>
      </c>
      <c r="HD30" s="30">
        <f t="shared" si="54"/>
        <v>51.42005912</v>
      </c>
      <c r="HE30" s="30">
        <f t="shared" si="55"/>
        <v>51.42005912</v>
      </c>
      <c r="HF30" s="30">
        <f t="shared" si="56"/>
        <v>51.42005912</v>
      </c>
      <c r="HG30" s="30">
        <f t="shared" si="57"/>
        <v>359.9404138</v>
      </c>
      <c r="HH30" s="30">
        <f t="shared" si="58"/>
        <v>257.1002956</v>
      </c>
      <c r="HI30" s="27" t="str">
        <f t="shared" si="59"/>
        <v>#REF!</v>
      </c>
      <c r="HJ30" s="12"/>
      <c r="HK30" s="12">
        <v>0.0</v>
      </c>
      <c r="HL30" s="12">
        <v>0.0</v>
      </c>
      <c r="HM30" s="25" t="str">
        <f t="shared" si="60"/>
        <v>JUN</v>
      </c>
      <c r="HN30" s="12" t="str">
        <f t="shared" si="61"/>
        <v/>
      </c>
    </row>
    <row r="31" ht="13.5" customHeight="1">
      <c r="A31" s="12" t="str">
        <f t="shared" si="2"/>
        <v>212234</v>
      </c>
      <c r="B31" s="31" t="s">
        <v>0</v>
      </c>
      <c r="C31" s="32" t="s">
        <v>94</v>
      </c>
      <c r="D31" s="32" t="s">
        <v>95</v>
      </c>
      <c r="E31" s="33">
        <v>212234.0</v>
      </c>
      <c r="F31" s="31" t="s">
        <v>135</v>
      </c>
      <c r="G31" s="31" t="s">
        <v>126</v>
      </c>
      <c r="H31" s="34">
        <v>2043.0</v>
      </c>
      <c r="I31" s="31" t="s">
        <v>127</v>
      </c>
      <c r="J31" s="31" t="s">
        <v>103</v>
      </c>
      <c r="K31" s="34">
        <v>400200.0</v>
      </c>
      <c r="L31" s="17">
        <f t="shared" si="3"/>
        <v>224109.38</v>
      </c>
      <c r="M31" s="35">
        <v>0.5599934532733634</v>
      </c>
      <c r="N31" s="31">
        <v>0.58</v>
      </c>
      <c r="O31" s="17">
        <f t="shared" si="4"/>
        <v>232116</v>
      </c>
      <c r="P31" s="36" t="s">
        <v>104</v>
      </c>
      <c r="Q31" s="37">
        <v>0.6061713249835201</v>
      </c>
      <c r="R31" s="38">
        <f t="shared" si="5"/>
        <v>242589.7643</v>
      </c>
      <c r="S31" s="36">
        <f t="shared" si="6"/>
        <v>20215.81369</v>
      </c>
      <c r="T31" s="36">
        <f t="shared" si="7"/>
        <v>18480.38426</v>
      </c>
      <c r="U31" s="39">
        <f t="shared" si="8"/>
        <v>0.08246144922</v>
      </c>
      <c r="V31" s="21">
        <v>0.623169200968523</v>
      </c>
      <c r="W31" s="17">
        <f t="shared" si="9"/>
        <v>249392.3142</v>
      </c>
      <c r="X31" s="36">
        <f t="shared" si="10"/>
        <v>20782.69285</v>
      </c>
      <c r="Y31" s="17">
        <f t="shared" si="11"/>
        <v>25282.93423</v>
      </c>
      <c r="Z31" s="20">
        <f t="shared" si="12"/>
        <v>0.112815154</v>
      </c>
      <c r="AA31" s="40">
        <v>0.12</v>
      </c>
      <c r="AB31" s="35">
        <f t="shared" si="13"/>
        <v>0.533430766</v>
      </c>
      <c r="AC31" s="35">
        <f t="shared" si="14"/>
        <v>213478.9925</v>
      </c>
      <c r="AD31" s="35">
        <f t="shared" si="15"/>
        <v>-29110.77171</v>
      </c>
      <c r="AE31" s="41">
        <f t="shared" si="16"/>
        <v>-0.12</v>
      </c>
      <c r="AF31" s="18">
        <f t="shared" si="17"/>
        <v>-35913.32168</v>
      </c>
      <c r="AG31" s="24">
        <f t="shared" si="18"/>
        <v>-0.1440033218</v>
      </c>
      <c r="AH31" s="31" t="s">
        <v>105</v>
      </c>
      <c r="AI31" s="31"/>
      <c r="AJ31" s="33" t="str">
        <f t="shared" si="19"/>
        <v>BD COLETA</v>
      </c>
      <c r="AK31" s="35">
        <f t="shared" si="20"/>
        <v>0.58</v>
      </c>
      <c r="AL31" s="17">
        <f t="shared" si="21"/>
        <v>232116</v>
      </c>
      <c r="AM31" s="17">
        <f t="shared" si="22"/>
        <v>-17276.31423</v>
      </c>
      <c r="AN31" s="20">
        <f t="shared" si="23"/>
        <v>-0.06927364334</v>
      </c>
      <c r="AO31" s="35"/>
      <c r="AP31" s="35"/>
      <c r="AQ31" s="35"/>
      <c r="AR31" s="35">
        <v>0.58</v>
      </c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18"/>
      <c r="BT31" s="18"/>
      <c r="BU31" s="25"/>
      <c r="BV31" s="25"/>
      <c r="BW31" s="25"/>
      <c r="BX31" s="25"/>
      <c r="BY31" s="25"/>
      <c r="BZ31" s="25"/>
      <c r="CA31" s="25"/>
      <c r="CB31" s="26"/>
      <c r="CC31" s="26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25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25" t="str">
        <f t="shared" ref="FN31:FY31" si="89">$AD31*#REF!</f>
        <v>#REF!</v>
      </c>
      <c r="FO31" s="25" t="str">
        <f t="shared" si="89"/>
        <v>#REF!</v>
      </c>
      <c r="FP31" s="25" t="str">
        <f t="shared" si="89"/>
        <v>#REF!</v>
      </c>
      <c r="FQ31" s="25" t="str">
        <f t="shared" si="89"/>
        <v>#REF!</v>
      </c>
      <c r="FR31" s="25" t="str">
        <f t="shared" si="89"/>
        <v>#REF!</v>
      </c>
      <c r="FS31" s="25" t="str">
        <f t="shared" si="89"/>
        <v>#REF!</v>
      </c>
      <c r="FT31" s="25" t="str">
        <f t="shared" si="89"/>
        <v>#REF!</v>
      </c>
      <c r="FU31" s="25" t="str">
        <f t="shared" si="89"/>
        <v>#REF!</v>
      </c>
      <c r="FV31" s="25" t="str">
        <f t="shared" si="89"/>
        <v>#REF!</v>
      </c>
      <c r="FW31" s="25" t="str">
        <f t="shared" si="89"/>
        <v>#REF!</v>
      </c>
      <c r="FX31" s="25" t="str">
        <f t="shared" si="89"/>
        <v>#REF!</v>
      </c>
      <c r="FY31" s="25" t="str">
        <f t="shared" si="89"/>
        <v>#REF!</v>
      </c>
      <c r="FZ31" s="25" t="str">
        <f t="shared" si="25"/>
        <v>#REF!</v>
      </c>
      <c r="GA31" s="25" t="str">
        <f t="shared" si="26"/>
        <v>#REF!</v>
      </c>
      <c r="GB31" s="25" t="s">
        <v>76</v>
      </c>
      <c r="GC31" s="25">
        <f t="shared" si="27"/>
        <v>0</v>
      </c>
      <c r="GD31" s="25">
        <f t="shared" si="28"/>
        <v>0</v>
      </c>
      <c r="GE31" s="25">
        <f t="shared" si="29"/>
        <v>0</v>
      </c>
      <c r="GF31" s="25">
        <f t="shared" si="30"/>
        <v>0</v>
      </c>
      <c r="GG31" s="25">
        <f t="shared" si="31"/>
        <v>0</v>
      </c>
      <c r="GH31" s="25">
        <f t="shared" si="32"/>
        <v>-1439.692852</v>
      </c>
      <c r="GI31" s="25">
        <f t="shared" si="33"/>
        <v>-1439.692852</v>
      </c>
      <c r="GJ31" s="25">
        <f t="shared" si="34"/>
        <v>-1439.692852</v>
      </c>
      <c r="GK31" s="25">
        <f t="shared" si="35"/>
        <v>-1439.692852</v>
      </c>
      <c r="GL31" s="25">
        <f t="shared" si="36"/>
        <v>-1439.692852</v>
      </c>
      <c r="GM31" s="25">
        <f t="shared" si="37"/>
        <v>-1439.692852</v>
      </c>
      <c r="GN31" s="25">
        <f t="shared" si="38"/>
        <v>-1439.692852</v>
      </c>
      <c r="GO31" s="25">
        <f t="shared" si="39"/>
        <v>-10077.84997</v>
      </c>
      <c r="GP31" s="25">
        <f t="shared" si="40"/>
        <v>-7198.464262</v>
      </c>
      <c r="GQ31" s="27" t="str">
        <f t="shared" si="41"/>
        <v>#REF!</v>
      </c>
      <c r="GR31" s="28">
        <f t="shared" si="42"/>
        <v>-17276.31423</v>
      </c>
      <c r="GS31" s="29">
        <f t="shared" si="43"/>
        <v>-0.06927364334</v>
      </c>
      <c r="GT31" s="25" t="str">
        <f t="shared" si="44"/>
        <v>JUN</v>
      </c>
      <c r="GU31" s="25">
        <f t="shared" si="45"/>
        <v>0</v>
      </c>
      <c r="GV31" s="25">
        <f t="shared" si="46"/>
        <v>0</v>
      </c>
      <c r="GW31" s="25">
        <f t="shared" si="47"/>
        <v>0</v>
      </c>
      <c r="GX31" s="30">
        <f t="shared" si="48"/>
        <v>0</v>
      </c>
      <c r="GY31" s="30">
        <f t="shared" si="49"/>
        <v>0</v>
      </c>
      <c r="GZ31" s="30">
        <f t="shared" si="50"/>
        <v>-1439.692852</v>
      </c>
      <c r="HA31" s="30">
        <f t="shared" si="51"/>
        <v>-1439.692852</v>
      </c>
      <c r="HB31" s="30">
        <f t="shared" si="52"/>
        <v>-1439.692852</v>
      </c>
      <c r="HC31" s="30">
        <f t="shared" si="53"/>
        <v>-1439.692852</v>
      </c>
      <c r="HD31" s="30">
        <f t="shared" si="54"/>
        <v>-1439.692852</v>
      </c>
      <c r="HE31" s="30">
        <f t="shared" si="55"/>
        <v>-1439.692852</v>
      </c>
      <c r="HF31" s="30">
        <f t="shared" si="56"/>
        <v>-1439.692852</v>
      </c>
      <c r="HG31" s="30">
        <f t="shared" si="57"/>
        <v>-10077.84997</v>
      </c>
      <c r="HH31" s="30">
        <f t="shared" si="58"/>
        <v>-7198.464262</v>
      </c>
      <c r="HI31" s="27" t="str">
        <f t="shared" si="59"/>
        <v>#REF!</v>
      </c>
      <c r="HJ31" s="12"/>
      <c r="HK31" s="12">
        <v>1.0</v>
      </c>
      <c r="HL31" s="12">
        <v>1.0</v>
      </c>
      <c r="HM31" s="25" t="str">
        <f t="shared" si="60"/>
        <v>JUN</v>
      </c>
      <c r="HN31" s="12" t="str">
        <f t="shared" si="61"/>
        <v/>
      </c>
    </row>
    <row r="32" ht="13.5" customHeight="1">
      <c r="A32" s="12" t="str">
        <f t="shared" si="2"/>
        <v>212234</v>
      </c>
      <c r="B32" s="31" t="s">
        <v>0</v>
      </c>
      <c r="C32" s="32" t="s">
        <v>94</v>
      </c>
      <c r="D32" s="32" t="s">
        <v>95</v>
      </c>
      <c r="E32" s="33">
        <v>212234.0</v>
      </c>
      <c r="F32" s="31" t="s">
        <v>135</v>
      </c>
      <c r="G32" s="31" t="s">
        <v>112</v>
      </c>
      <c r="H32" s="34">
        <v>2045.0</v>
      </c>
      <c r="I32" s="31" t="s">
        <v>113</v>
      </c>
      <c r="J32" s="31" t="s">
        <v>103</v>
      </c>
      <c r="K32" s="34">
        <v>388800.0</v>
      </c>
      <c r="L32" s="17">
        <f t="shared" si="3"/>
        <v>217725.93</v>
      </c>
      <c r="M32" s="35">
        <v>0.5599946759259258</v>
      </c>
      <c r="N32" s="31">
        <v>0.58</v>
      </c>
      <c r="O32" s="17">
        <f t="shared" si="4"/>
        <v>225504</v>
      </c>
      <c r="P32" s="36" t="s">
        <v>104</v>
      </c>
      <c r="Q32" s="37">
        <v>0.6061713249835201</v>
      </c>
      <c r="R32" s="38">
        <f t="shared" si="5"/>
        <v>235679.4112</v>
      </c>
      <c r="S32" s="36">
        <f t="shared" si="6"/>
        <v>19639.95093</v>
      </c>
      <c r="T32" s="36">
        <f t="shared" si="7"/>
        <v>17953.48115</v>
      </c>
      <c r="U32" s="39">
        <f t="shared" si="8"/>
        <v>0.08245908585</v>
      </c>
      <c r="V32" s="21">
        <v>0.623169200968523</v>
      </c>
      <c r="W32" s="17">
        <f t="shared" si="9"/>
        <v>242288.1853</v>
      </c>
      <c r="X32" s="36">
        <f t="shared" si="10"/>
        <v>20190.68211</v>
      </c>
      <c r="Y32" s="17">
        <f t="shared" si="11"/>
        <v>24562.25534</v>
      </c>
      <c r="Z32" s="20">
        <f t="shared" si="12"/>
        <v>0.1128127244</v>
      </c>
      <c r="AA32" s="40">
        <v>0.12</v>
      </c>
      <c r="AB32" s="35">
        <f t="shared" si="13"/>
        <v>0.533430766</v>
      </c>
      <c r="AC32" s="35">
        <f t="shared" si="14"/>
        <v>207397.8818</v>
      </c>
      <c r="AD32" s="35">
        <f t="shared" si="15"/>
        <v>-28281.52934</v>
      </c>
      <c r="AE32" s="41">
        <f t="shared" si="16"/>
        <v>-0.12</v>
      </c>
      <c r="AF32" s="18">
        <f t="shared" si="17"/>
        <v>-34890.30352</v>
      </c>
      <c r="AG32" s="24">
        <f t="shared" si="18"/>
        <v>-0.1440033218</v>
      </c>
      <c r="AH32" s="31" t="s">
        <v>105</v>
      </c>
      <c r="AI32" s="31"/>
      <c r="AJ32" s="33" t="str">
        <f t="shared" si="19"/>
        <v>BD COLETA</v>
      </c>
      <c r="AK32" s="35">
        <f t="shared" si="20"/>
        <v>0.58</v>
      </c>
      <c r="AL32" s="17">
        <f t="shared" si="21"/>
        <v>225504</v>
      </c>
      <c r="AM32" s="17">
        <f t="shared" si="22"/>
        <v>-16784.18534</v>
      </c>
      <c r="AN32" s="20">
        <f t="shared" si="23"/>
        <v>-0.06927364334</v>
      </c>
      <c r="AO32" s="35"/>
      <c r="AP32" s="35"/>
      <c r="AQ32" s="35"/>
      <c r="AR32" s="35">
        <v>0.58</v>
      </c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18"/>
      <c r="BT32" s="18"/>
      <c r="BU32" s="25"/>
      <c r="BV32" s="25"/>
      <c r="BW32" s="25"/>
      <c r="BX32" s="25"/>
      <c r="BY32" s="25"/>
      <c r="BZ32" s="25"/>
      <c r="CA32" s="25"/>
      <c r="CB32" s="26"/>
      <c r="CC32" s="26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25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25" t="str">
        <f t="shared" ref="FN32:FY32" si="90">$AD32*#REF!</f>
        <v>#REF!</v>
      </c>
      <c r="FO32" s="25" t="str">
        <f t="shared" si="90"/>
        <v>#REF!</v>
      </c>
      <c r="FP32" s="25" t="str">
        <f t="shared" si="90"/>
        <v>#REF!</v>
      </c>
      <c r="FQ32" s="25" t="str">
        <f t="shared" si="90"/>
        <v>#REF!</v>
      </c>
      <c r="FR32" s="25" t="str">
        <f t="shared" si="90"/>
        <v>#REF!</v>
      </c>
      <c r="FS32" s="25" t="str">
        <f t="shared" si="90"/>
        <v>#REF!</v>
      </c>
      <c r="FT32" s="25" t="str">
        <f t="shared" si="90"/>
        <v>#REF!</v>
      </c>
      <c r="FU32" s="25" t="str">
        <f t="shared" si="90"/>
        <v>#REF!</v>
      </c>
      <c r="FV32" s="25" t="str">
        <f t="shared" si="90"/>
        <v>#REF!</v>
      </c>
      <c r="FW32" s="25" t="str">
        <f t="shared" si="90"/>
        <v>#REF!</v>
      </c>
      <c r="FX32" s="25" t="str">
        <f t="shared" si="90"/>
        <v>#REF!</v>
      </c>
      <c r="FY32" s="25" t="str">
        <f t="shared" si="90"/>
        <v>#REF!</v>
      </c>
      <c r="FZ32" s="25" t="str">
        <f t="shared" si="25"/>
        <v>#REF!</v>
      </c>
      <c r="GA32" s="25" t="str">
        <f t="shared" si="26"/>
        <v>#REF!</v>
      </c>
      <c r="GB32" s="25" t="s">
        <v>76</v>
      </c>
      <c r="GC32" s="25">
        <f t="shared" si="27"/>
        <v>0</v>
      </c>
      <c r="GD32" s="25">
        <f t="shared" si="28"/>
        <v>0</v>
      </c>
      <c r="GE32" s="25">
        <f t="shared" si="29"/>
        <v>0</v>
      </c>
      <c r="GF32" s="25">
        <f t="shared" si="30"/>
        <v>0</v>
      </c>
      <c r="GG32" s="25">
        <f t="shared" si="31"/>
        <v>0</v>
      </c>
      <c r="GH32" s="25">
        <f t="shared" si="32"/>
        <v>-1398.682111</v>
      </c>
      <c r="GI32" s="25">
        <f t="shared" si="33"/>
        <v>-1398.682111</v>
      </c>
      <c r="GJ32" s="25">
        <f t="shared" si="34"/>
        <v>-1398.682111</v>
      </c>
      <c r="GK32" s="25">
        <f t="shared" si="35"/>
        <v>-1398.682111</v>
      </c>
      <c r="GL32" s="25">
        <f t="shared" si="36"/>
        <v>-1398.682111</v>
      </c>
      <c r="GM32" s="25">
        <f t="shared" si="37"/>
        <v>-1398.682111</v>
      </c>
      <c r="GN32" s="25">
        <f t="shared" si="38"/>
        <v>-1398.682111</v>
      </c>
      <c r="GO32" s="25">
        <f t="shared" si="39"/>
        <v>-9790.77478</v>
      </c>
      <c r="GP32" s="25">
        <f t="shared" si="40"/>
        <v>-6993.410557</v>
      </c>
      <c r="GQ32" s="27" t="str">
        <f t="shared" si="41"/>
        <v>#REF!</v>
      </c>
      <c r="GR32" s="28">
        <f t="shared" si="42"/>
        <v>-16784.18534</v>
      </c>
      <c r="GS32" s="29">
        <f t="shared" si="43"/>
        <v>-0.06927364334</v>
      </c>
      <c r="GT32" s="25" t="str">
        <f t="shared" si="44"/>
        <v>JUN</v>
      </c>
      <c r="GU32" s="25">
        <f t="shared" si="45"/>
        <v>0</v>
      </c>
      <c r="GV32" s="25">
        <f t="shared" si="46"/>
        <v>0</v>
      </c>
      <c r="GW32" s="25">
        <f t="shared" si="47"/>
        <v>0</v>
      </c>
      <c r="GX32" s="30">
        <f t="shared" si="48"/>
        <v>0</v>
      </c>
      <c r="GY32" s="30">
        <f t="shared" si="49"/>
        <v>0</v>
      </c>
      <c r="GZ32" s="30">
        <f t="shared" si="50"/>
        <v>-1398.682111</v>
      </c>
      <c r="HA32" s="30">
        <f t="shared" si="51"/>
        <v>-1398.682111</v>
      </c>
      <c r="HB32" s="30">
        <f t="shared" si="52"/>
        <v>-1398.682111</v>
      </c>
      <c r="HC32" s="30">
        <f t="shared" si="53"/>
        <v>-1398.682111</v>
      </c>
      <c r="HD32" s="30">
        <f t="shared" si="54"/>
        <v>-1398.682111</v>
      </c>
      <c r="HE32" s="30">
        <f t="shared" si="55"/>
        <v>-1398.682111</v>
      </c>
      <c r="HF32" s="30">
        <f t="shared" si="56"/>
        <v>-1398.682111</v>
      </c>
      <c r="HG32" s="30">
        <f t="shared" si="57"/>
        <v>-9790.77478</v>
      </c>
      <c r="HH32" s="30">
        <f t="shared" si="58"/>
        <v>-6993.410557</v>
      </c>
      <c r="HI32" s="27" t="str">
        <f t="shared" si="59"/>
        <v>#REF!</v>
      </c>
      <c r="HJ32" s="12"/>
      <c r="HK32" s="12">
        <v>0.0</v>
      </c>
      <c r="HL32" s="12">
        <v>0.0</v>
      </c>
      <c r="HM32" s="25" t="str">
        <f t="shared" si="60"/>
        <v>JUN</v>
      </c>
      <c r="HN32" s="12" t="str">
        <f t="shared" si="61"/>
        <v/>
      </c>
    </row>
    <row r="33" ht="13.5" customHeight="1">
      <c r="A33" s="12" t="str">
        <f t="shared" si="2"/>
        <v>150420</v>
      </c>
      <c r="B33" s="31" t="s">
        <v>0</v>
      </c>
      <c r="C33" s="32" t="s">
        <v>94</v>
      </c>
      <c r="D33" s="32" t="s">
        <v>107</v>
      </c>
      <c r="E33" s="33">
        <v>150420.0</v>
      </c>
      <c r="F33" s="31" t="s">
        <v>108</v>
      </c>
      <c r="G33" s="31" t="s">
        <v>97</v>
      </c>
      <c r="H33" s="34">
        <v>2277.0</v>
      </c>
      <c r="I33" s="31" t="s">
        <v>131</v>
      </c>
      <c r="J33" s="31" t="s">
        <v>103</v>
      </c>
      <c r="K33" s="34">
        <v>310368.0</v>
      </c>
      <c r="L33" s="17">
        <f t="shared" si="3"/>
        <v>207946.56</v>
      </c>
      <c r="M33" s="35">
        <v>0.67</v>
      </c>
      <c r="N33" s="31">
        <v>0.74</v>
      </c>
      <c r="O33" s="17">
        <f t="shared" si="4"/>
        <v>229672.32</v>
      </c>
      <c r="P33" s="36" t="s">
        <v>104</v>
      </c>
      <c r="Q33" s="37">
        <v>0.7702578840709202</v>
      </c>
      <c r="R33" s="38">
        <f t="shared" si="5"/>
        <v>239063.399</v>
      </c>
      <c r="S33" s="36">
        <f t="shared" si="6"/>
        <v>19921.94991</v>
      </c>
      <c r="T33" s="36">
        <f t="shared" si="7"/>
        <v>31116.83896</v>
      </c>
      <c r="U33" s="39">
        <f t="shared" si="8"/>
        <v>0.1496386329</v>
      </c>
      <c r="V33" s="21">
        <v>0.7946273243714965</v>
      </c>
      <c r="W33" s="17">
        <f t="shared" si="9"/>
        <v>246626.8934</v>
      </c>
      <c r="X33" s="36">
        <f t="shared" si="10"/>
        <v>20552.24112</v>
      </c>
      <c r="Y33" s="17">
        <f t="shared" si="11"/>
        <v>38680.33341</v>
      </c>
      <c r="Z33" s="20">
        <f t="shared" si="12"/>
        <v>0.1860109319</v>
      </c>
      <c r="AA33" s="40">
        <v>0.12</v>
      </c>
      <c r="AB33" s="35">
        <f t="shared" si="13"/>
        <v>0.677826938</v>
      </c>
      <c r="AC33" s="35">
        <f t="shared" si="14"/>
        <v>210375.7911</v>
      </c>
      <c r="AD33" s="35">
        <f t="shared" si="15"/>
        <v>-28687.60788</v>
      </c>
      <c r="AE33" s="41">
        <f t="shared" si="16"/>
        <v>-0.12</v>
      </c>
      <c r="AF33" s="18">
        <f t="shared" si="17"/>
        <v>-36251.10232</v>
      </c>
      <c r="AG33" s="24">
        <f t="shared" si="18"/>
        <v>-0.1469876291</v>
      </c>
      <c r="AH33" s="31" t="s">
        <v>105</v>
      </c>
      <c r="AI33" s="31"/>
      <c r="AJ33" s="33" t="str">
        <f t="shared" si="19"/>
        <v>BD COLETA</v>
      </c>
      <c r="AK33" s="35">
        <f t="shared" si="20"/>
        <v>0.74</v>
      </c>
      <c r="AL33" s="17">
        <f t="shared" si="21"/>
        <v>229672.32</v>
      </c>
      <c r="AM33" s="17">
        <f t="shared" si="22"/>
        <v>-16954.57341</v>
      </c>
      <c r="AN33" s="20">
        <f t="shared" si="23"/>
        <v>-0.06874584185</v>
      </c>
      <c r="AO33" s="35"/>
      <c r="AP33" s="35"/>
      <c r="AQ33" s="35"/>
      <c r="AR33" s="35">
        <v>0.74</v>
      </c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18"/>
      <c r="BT33" s="18"/>
      <c r="BU33" s="25"/>
      <c r="BV33" s="25"/>
      <c r="BW33" s="25"/>
      <c r="BX33" s="25"/>
      <c r="BY33" s="25">
        <v>1.1543999999999999</v>
      </c>
      <c r="BZ33" s="25" t="s">
        <v>109</v>
      </c>
      <c r="CA33" s="25"/>
      <c r="CB33" s="26"/>
      <c r="CC33" s="26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25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25" t="str">
        <f t="shared" ref="FN33:FY33" si="91">$AD33*#REF!</f>
        <v>#REF!</v>
      </c>
      <c r="FO33" s="25" t="str">
        <f t="shared" si="91"/>
        <v>#REF!</v>
      </c>
      <c r="FP33" s="25" t="str">
        <f t="shared" si="91"/>
        <v>#REF!</v>
      </c>
      <c r="FQ33" s="25" t="str">
        <f t="shared" si="91"/>
        <v>#REF!</v>
      </c>
      <c r="FR33" s="25" t="str">
        <f t="shared" si="91"/>
        <v>#REF!</v>
      </c>
      <c r="FS33" s="25" t="str">
        <f t="shared" si="91"/>
        <v>#REF!</v>
      </c>
      <c r="FT33" s="25" t="str">
        <f t="shared" si="91"/>
        <v>#REF!</v>
      </c>
      <c r="FU33" s="25" t="str">
        <f t="shared" si="91"/>
        <v>#REF!</v>
      </c>
      <c r="FV33" s="25" t="str">
        <f t="shared" si="91"/>
        <v>#REF!</v>
      </c>
      <c r="FW33" s="25" t="str">
        <f t="shared" si="91"/>
        <v>#REF!</v>
      </c>
      <c r="FX33" s="25" t="str">
        <f t="shared" si="91"/>
        <v>#REF!</v>
      </c>
      <c r="FY33" s="25" t="str">
        <f t="shared" si="91"/>
        <v>#REF!</v>
      </c>
      <c r="FZ33" s="25" t="str">
        <f t="shared" si="25"/>
        <v>#REF!</v>
      </c>
      <c r="GA33" s="25" t="str">
        <f t="shared" si="26"/>
        <v>#REF!</v>
      </c>
      <c r="GB33" s="25" t="s">
        <v>76</v>
      </c>
      <c r="GC33" s="25">
        <f t="shared" si="27"/>
        <v>0</v>
      </c>
      <c r="GD33" s="25">
        <f t="shared" si="28"/>
        <v>0</v>
      </c>
      <c r="GE33" s="25">
        <f t="shared" si="29"/>
        <v>0</v>
      </c>
      <c r="GF33" s="25">
        <f t="shared" si="30"/>
        <v>0</v>
      </c>
      <c r="GG33" s="25">
        <f t="shared" si="31"/>
        <v>0</v>
      </c>
      <c r="GH33" s="25">
        <f t="shared" si="32"/>
        <v>-1412.881118</v>
      </c>
      <c r="GI33" s="25">
        <f t="shared" si="33"/>
        <v>-1412.881118</v>
      </c>
      <c r="GJ33" s="25">
        <f t="shared" si="34"/>
        <v>-1412.881118</v>
      </c>
      <c r="GK33" s="25">
        <f t="shared" si="35"/>
        <v>-1412.881118</v>
      </c>
      <c r="GL33" s="25">
        <f t="shared" si="36"/>
        <v>-1412.881118</v>
      </c>
      <c r="GM33" s="25">
        <f t="shared" si="37"/>
        <v>-1412.881118</v>
      </c>
      <c r="GN33" s="25">
        <f t="shared" si="38"/>
        <v>-1412.881118</v>
      </c>
      <c r="GO33" s="25">
        <f t="shared" si="39"/>
        <v>-9890.167823</v>
      </c>
      <c r="GP33" s="25">
        <f t="shared" si="40"/>
        <v>-7064.405588</v>
      </c>
      <c r="GQ33" s="27" t="str">
        <f t="shared" si="41"/>
        <v>#REF!</v>
      </c>
      <c r="GR33" s="28">
        <f t="shared" si="42"/>
        <v>-16954.57341</v>
      </c>
      <c r="GS33" s="29">
        <f t="shared" si="43"/>
        <v>-0.06874584185</v>
      </c>
      <c r="GT33" s="25" t="str">
        <f t="shared" si="44"/>
        <v>JUN</v>
      </c>
      <c r="GU33" s="25">
        <f t="shared" si="45"/>
        <v>0</v>
      </c>
      <c r="GV33" s="25">
        <f t="shared" si="46"/>
        <v>0</v>
      </c>
      <c r="GW33" s="25">
        <f t="shared" si="47"/>
        <v>0</v>
      </c>
      <c r="GX33" s="30">
        <f t="shared" si="48"/>
        <v>0</v>
      </c>
      <c r="GY33" s="30">
        <f t="shared" si="49"/>
        <v>0</v>
      </c>
      <c r="GZ33" s="30">
        <f t="shared" si="50"/>
        <v>-1412.881118</v>
      </c>
      <c r="HA33" s="30">
        <f t="shared" si="51"/>
        <v>-1412.881118</v>
      </c>
      <c r="HB33" s="30">
        <f t="shared" si="52"/>
        <v>-1412.881118</v>
      </c>
      <c r="HC33" s="30">
        <f t="shared" si="53"/>
        <v>-1412.881118</v>
      </c>
      <c r="HD33" s="30">
        <f t="shared" si="54"/>
        <v>-1412.881118</v>
      </c>
      <c r="HE33" s="30">
        <f t="shared" si="55"/>
        <v>-1412.881118</v>
      </c>
      <c r="HF33" s="30">
        <f t="shared" si="56"/>
        <v>-1412.881118</v>
      </c>
      <c r="HG33" s="30">
        <f t="shared" si="57"/>
        <v>-9890.167823</v>
      </c>
      <c r="HH33" s="30">
        <f t="shared" si="58"/>
        <v>-7064.405588</v>
      </c>
      <c r="HI33" s="27" t="str">
        <f t="shared" si="59"/>
        <v>#REF!</v>
      </c>
      <c r="HJ33" s="12"/>
      <c r="HK33" s="12">
        <v>0.0</v>
      </c>
      <c r="HL33" s="12">
        <v>0.0</v>
      </c>
      <c r="HM33" s="25" t="str">
        <f t="shared" si="60"/>
        <v>JUN</v>
      </c>
      <c r="HN33" s="12" t="str">
        <f t="shared" si="61"/>
        <v/>
      </c>
    </row>
    <row r="34" ht="13.5" customHeight="1">
      <c r="A34" s="12" t="str">
        <f t="shared" si="2"/>
        <v>152794</v>
      </c>
      <c r="B34" s="31" t="s">
        <v>0</v>
      </c>
      <c r="C34" s="32" t="s">
        <v>94</v>
      </c>
      <c r="D34" s="32" t="s">
        <v>95</v>
      </c>
      <c r="E34" s="33">
        <v>152794.0</v>
      </c>
      <c r="F34" s="31" t="s">
        <v>115</v>
      </c>
      <c r="G34" s="31" t="s">
        <v>112</v>
      </c>
      <c r="H34" s="34">
        <v>2045.0</v>
      </c>
      <c r="I34" s="31" t="s">
        <v>113</v>
      </c>
      <c r="J34" s="31" t="s">
        <v>103</v>
      </c>
      <c r="K34" s="34">
        <v>167700.0</v>
      </c>
      <c r="L34" s="17">
        <f t="shared" si="3"/>
        <v>204594</v>
      </c>
      <c r="M34" s="35">
        <v>1.22</v>
      </c>
      <c r="N34" s="31">
        <v>1.22</v>
      </c>
      <c r="O34" s="17">
        <f t="shared" si="4"/>
        <v>204594</v>
      </c>
      <c r="P34" s="36" t="s">
        <v>104</v>
      </c>
      <c r="Q34" s="37">
        <v>1.3888301368043565</v>
      </c>
      <c r="R34" s="38">
        <f t="shared" si="5"/>
        <v>232906.8139</v>
      </c>
      <c r="S34" s="36">
        <f t="shared" si="6"/>
        <v>19408.90116</v>
      </c>
      <c r="T34" s="36">
        <f t="shared" si="7"/>
        <v>28312.81394</v>
      </c>
      <c r="U34" s="39">
        <f t="shared" si="8"/>
        <v>0.138385358</v>
      </c>
      <c r="V34" s="21">
        <v>1.508974319267002</v>
      </c>
      <c r="W34" s="17">
        <f t="shared" si="9"/>
        <v>253054.9933</v>
      </c>
      <c r="X34" s="36">
        <f t="shared" si="10"/>
        <v>21087.91611</v>
      </c>
      <c r="Y34" s="17">
        <f t="shared" si="11"/>
        <v>48460.99334</v>
      </c>
      <c r="Z34" s="20">
        <f t="shared" si="12"/>
        <v>0.2368641961</v>
      </c>
      <c r="AA34" s="40">
        <v>0.12</v>
      </c>
      <c r="AB34" s="35">
        <f t="shared" si="13"/>
        <v>1.22217052</v>
      </c>
      <c r="AC34" s="35">
        <f t="shared" si="14"/>
        <v>204957.9963</v>
      </c>
      <c r="AD34" s="35">
        <f t="shared" si="15"/>
        <v>-27948.81767</v>
      </c>
      <c r="AE34" s="41">
        <f t="shared" si="16"/>
        <v>-0.12</v>
      </c>
      <c r="AF34" s="18">
        <f t="shared" si="17"/>
        <v>-48096.99707</v>
      </c>
      <c r="AG34" s="24">
        <f t="shared" si="18"/>
        <v>-0.1900653942</v>
      </c>
      <c r="AH34" s="31" t="s">
        <v>105</v>
      </c>
      <c r="AI34" s="31"/>
      <c r="AJ34" s="33" t="str">
        <f t="shared" si="19"/>
        <v>BD COLETA</v>
      </c>
      <c r="AK34" s="35">
        <f t="shared" si="20"/>
        <v>1.22</v>
      </c>
      <c r="AL34" s="17">
        <f t="shared" si="21"/>
        <v>204594</v>
      </c>
      <c r="AM34" s="17">
        <f t="shared" si="22"/>
        <v>-48460.99334</v>
      </c>
      <c r="AN34" s="20">
        <f t="shared" si="23"/>
        <v>-0.191503802</v>
      </c>
      <c r="AO34" s="35"/>
      <c r="AP34" s="35"/>
      <c r="AQ34" s="35"/>
      <c r="AR34" s="35">
        <v>1.22</v>
      </c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18"/>
      <c r="BT34" s="18"/>
      <c r="BU34" s="25"/>
      <c r="BV34" s="25"/>
      <c r="BW34" s="25"/>
      <c r="BX34" s="25"/>
      <c r="BY34" s="25"/>
      <c r="BZ34" s="25"/>
      <c r="CA34" s="25"/>
      <c r="CB34" s="26"/>
      <c r="CC34" s="26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25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25" t="str">
        <f t="shared" ref="FN34:FY34" si="92">$AD34*#REF!</f>
        <v>#REF!</v>
      </c>
      <c r="FO34" s="25" t="str">
        <f t="shared" si="92"/>
        <v>#REF!</v>
      </c>
      <c r="FP34" s="25" t="str">
        <f t="shared" si="92"/>
        <v>#REF!</v>
      </c>
      <c r="FQ34" s="25" t="str">
        <f t="shared" si="92"/>
        <v>#REF!</v>
      </c>
      <c r="FR34" s="25" t="str">
        <f t="shared" si="92"/>
        <v>#REF!</v>
      </c>
      <c r="FS34" s="25" t="str">
        <f t="shared" si="92"/>
        <v>#REF!</v>
      </c>
      <c r="FT34" s="25" t="str">
        <f t="shared" si="92"/>
        <v>#REF!</v>
      </c>
      <c r="FU34" s="25" t="str">
        <f t="shared" si="92"/>
        <v>#REF!</v>
      </c>
      <c r="FV34" s="25" t="str">
        <f t="shared" si="92"/>
        <v>#REF!</v>
      </c>
      <c r="FW34" s="25" t="str">
        <f t="shared" si="92"/>
        <v>#REF!</v>
      </c>
      <c r="FX34" s="25" t="str">
        <f t="shared" si="92"/>
        <v>#REF!</v>
      </c>
      <c r="FY34" s="25" t="str">
        <f t="shared" si="92"/>
        <v>#REF!</v>
      </c>
      <c r="FZ34" s="25" t="str">
        <f t="shared" si="25"/>
        <v>#REF!</v>
      </c>
      <c r="GA34" s="25" t="str">
        <f t="shared" si="26"/>
        <v>#REF!</v>
      </c>
      <c r="GB34" s="25" t="s">
        <v>76</v>
      </c>
      <c r="GC34" s="25">
        <f t="shared" si="27"/>
        <v>0</v>
      </c>
      <c r="GD34" s="25">
        <f t="shared" si="28"/>
        <v>0</v>
      </c>
      <c r="GE34" s="25">
        <f t="shared" si="29"/>
        <v>0</v>
      </c>
      <c r="GF34" s="25">
        <f t="shared" si="30"/>
        <v>0</v>
      </c>
      <c r="GG34" s="25">
        <f t="shared" si="31"/>
        <v>0</v>
      </c>
      <c r="GH34" s="25">
        <f t="shared" si="32"/>
        <v>-4038.416112</v>
      </c>
      <c r="GI34" s="25">
        <f t="shared" si="33"/>
        <v>-4038.416112</v>
      </c>
      <c r="GJ34" s="25">
        <f t="shared" si="34"/>
        <v>-4038.416112</v>
      </c>
      <c r="GK34" s="25">
        <f t="shared" si="35"/>
        <v>-4038.416112</v>
      </c>
      <c r="GL34" s="25">
        <f t="shared" si="36"/>
        <v>-4038.416112</v>
      </c>
      <c r="GM34" s="25">
        <f t="shared" si="37"/>
        <v>-4038.416112</v>
      </c>
      <c r="GN34" s="25">
        <f t="shared" si="38"/>
        <v>-4038.416112</v>
      </c>
      <c r="GO34" s="25">
        <f t="shared" si="39"/>
        <v>-28268.91278</v>
      </c>
      <c r="GP34" s="25">
        <f t="shared" si="40"/>
        <v>-20192.08056</v>
      </c>
      <c r="GQ34" s="27" t="str">
        <f t="shared" si="41"/>
        <v>#REF!</v>
      </c>
      <c r="GR34" s="28">
        <f t="shared" si="42"/>
        <v>-48460.99334</v>
      </c>
      <c r="GS34" s="29">
        <f t="shared" si="43"/>
        <v>-0.191503802</v>
      </c>
      <c r="GT34" s="25" t="str">
        <f t="shared" si="44"/>
        <v>JUN</v>
      </c>
      <c r="GU34" s="25">
        <f t="shared" si="45"/>
        <v>0</v>
      </c>
      <c r="GV34" s="25">
        <f t="shared" si="46"/>
        <v>0</v>
      </c>
      <c r="GW34" s="25">
        <f t="shared" si="47"/>
        <v>0</v>
      </c>
      <c r="GX34" s="30">
        <f t="shared" si="48"/>
        <v>0</v>
      </c>
      <c r="GY34" s="30">
        <f t="shared" si="49"/>
        <v>0</v>
      </c>
      <c r="GZ34" s="30">
        <f t="shared" si="50"/>
        <v>-4038.416112</v>
      </c>
      <c r="HA34" s="30">
        <f t="shared" si="51"/>
        <v>-4038.416112</v>
      </c>
      <c r="HB34" s="30">
        <f t="shared" si="52"/>
        <v>-4038.416112</v>
      </c>
      <c r="HC34" s="30">
        <f t="shared" si="53"/>
        <v>-4038.416112</v>
      </c>
      <c r="HD34" s="30">
        <f t="shared" si="54"/>
        <v>-4038.416112</v>
      </c>
      <c r="HE34" s="30">
        <f t="shared" si="55"/>
        <v>-4038.416112</v>
      </c>
      <c r="HF34" s="30">
        <f t="shared" si="56"/>
        <v>-4038.416112</v>
      </c>
      <c r="HG34" s="30">
        <f t="shared" si="57"/>
        <v>-28268.91278</v>
      </c>
      <c r="HH34" s="30">
        <f t="shared" si="58"/>
        <v>-20192.08056</v>
      </c>
      <c r="HI34" s="27" t="str">
        <f t="shared" si="59"/>
        <v>#REF!</v>
      </c>
      <c r="HJ34" s="12"/>
      <c r="HK34" s="12">
        <v>0.0</v>
      </c>
      <c r="HL34" s="12">
        <v>0.0</v>
      </c>
      <c r="HM34" s="25" t="str">
        <f t="shared" si="60"/>
        <v>JUN</v>
      </c>
      <c r="HN34" s="12" t="str">
        <f t="shared" si="61"/>
        <v/>
      </c>
    </row>
    <row r="35" ht="13.5" customHeight="1">
      <c r="A35" s="12" t="str">
        <f t="shared" si="2"/>
        <v>212236</v>
      </c>
      <c r="B35" s="31" t="s">
        <v>0</v>
      </c>
      <c r="C35" s="32" t="s">
        <v>94</v>
      </c>
      <c r="D35" s="32" t="s">
        <v>95</v>
      </c>
      <c r="E35" s="33">
        <v>212236.0</v>
      </c>
      <c r="F35" s="31" t="s">
        <v>124</v>
      </c>
      <c r="G35" s="31" t="s">
        <v>112</v>
      </c>
      <c r="H35" s="34">
        <v>2045.0</v>
      </c>
      <c r="I35" s="31" t="s">
        <v>113</v>
      </c>
      <c r="J35" s="31" t="s">
        <v>103</v>
      </c>
      <c r="K35" s="34">
        <v>552300.0</v>
      </c>
      <c r="L35" s="17">
        <f t="shared" si="3"/>
        <v>204351</v>
      </c>
      <c r="M35" s="35">
        <v>0.37</v>
      </c>
      <c r="N35" s="31">
        <v>0.39</v>
      </c>
      <c r="O35" s="17">
        <f t="shared" si="4"/>
        <v>215397</v>
      </c>
      <c r="P35" s="36" t="s">
        <v>104</v>
      </c>
      <c r="Q35" s="37">
        <v>0.38626284006723527</v>
      </c>
      <c r="R35" s="38">
        <f t="shared" si="5"/>
        <v>213332.9666</v>
      </c>
      <c r="S35" s="36">
        <f t="shared" si="6"/>
        <v>17777.74721</v>
      </c>
      <c r="T35" s="36">
        <f t="shared" si="7"/>
        <v>8981.966569</v>
      </c>
      <c r="U35" s="39">
        <f t="shared" si="8"/>
        <v>0.0439536218</v>
      </c>
      <c r="V35" s="21">
        <v>0.3972651227954509</v>
      </c>
      <c r="W35" s="17">
        <f t="shared" si="9"/>
        <v>219409.5273</v>
      </c>
      <c r="X35" s="36">
        <f t="shared" si="10"/>
        <v>18284.12728</v>
      </c>
      <c r="Y35" s="17">
        <f t="shared" si="11"/>
        <v>15058.52732</v>
      </c>
      <c r="Z35" s="20">
        <f t="shared" si="12"/>
        <v>0.07368952107</v>
      </c>
      <c r="AA35" s="40">
        <v>0.12</v>
      </c>
      <c r="AB35" s="35">
        <f t="shared" si="13"/>
        <v>0.3399112993</v>
      </c>
      <c r="AC35" s="35">
        <f t="shared" si="14"/>
        <v>187733.0106</v>
      </c>
      <c r="AD35" s="35">
        <f t="shared" si="15"/>
        <v>-25599.95599</v>
      </c>
      <c r="AE35" s="41">
        <f t="shared" si="16"/>
        <v>-0.12</v>
      </c>
      <c r="AF35" s="18">
        <f t="shared" si="17"/>
        <v>-31676.51674</v>
      </c>
      <c r="AG35" s="24">
        <f t="shared" si="18"/>
        <v>-0.1443716557</v>
      </c>
      <c r="AH35" s="31" t="s">
        <v>105</v>
      </c>
      <c r="AI35" s="31"/>
      <c r="AJ35" s="33" t="str">
        <f t="shared" si="19"/>
        <v>BD COLETA</v>
      </c>
      <c r="AK35" s="35">
        <f t="shared" si="20"/>
        <v>0.39</v>
      </c>
      <c r="AL35" s="17">
        <f t="shared" si="21"/>
        <v>215397</v>
      </c>
      <c r="AM35" s="17">
        <f t="shared" si="22"/>
        <v>-4012.52732</v>
      </c>
      <c r="AN35" s="20">
        <f t="shared" si="23"/>
        <v>-0.01828784451</v>
      </c>
      <c r="AO35" s="35"/>
      <c r="AP35" s="35"/>
      <c r="AQ35" s="35"/>
      <c r="AR35" s="35">
        <v>0.39</v>
      </c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18"/>
      <c r="BT35" s="18"/>
      <c r="BU35" s="25"/>
      <c r="BV35" s="25"/>
      <c r="BW35" s="25"/>
      <c r="BX35" s="25"/>
      <c r="BY35" s="25"/>
      <c r="BZ35" s="25"/>
      <c r="CA35" s="25"/>
      <c r="CB35" s="26"/>
      <c r="CC35" s="26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25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25" t="str">
        <f t="shared" ref="FN35:FY35" si="93">$AD35*#REF!</f>
        <v>#REF!</v>
      </c>
      <c r="FO35" s="25" t="str">
        <f t="shared" si="93"/>
        <v>#REF!</v>
      </c>
      <c r="FP35" s="25" t="str">
        <f t="shared" si="93"/>
        <v>#REF!</v>
      </c>
      <c r="FQ35" s="25" t="str">
        <f t="shared" si="93"/>
        <v>#REF!</v>
      </c>
      <c r="FR35" s="25" t="str">
        <f t="shared" si="93"/>
        <v>#REF!</v>
      </c>
      <c r="FS35" s="25" t="str">
        <f t="shared" si="93"/>
        <v>#REF!</v>
      </c>
      <c r="FT35" s="25" t="str">
        <f t="shared" si="93"/>
        <v>#REF!</v>
      </c>
      <c r="FU35" s="25" t="str">
        <f t="shared" si="93"/>
        <v>#REF!</v>
      </c>
      <c r="FV35" s="25" t="str">
        <f t="shared" si="93"/>
        <v>#REF!</v>
      </c>
      <c r="FW35" s="25" t="str">
        <f t="shared" si="93"/>
        <v>#REF!</v>
      </c>
      <c r="FX35" s="25" t="str">
        <f t="shared" si="93"/>
        <v>#REF!</v>
      </c>
      <c r="FY35" s="25" t="str">
        <f t="shared" si="93"/>
        <v>#REF!</v>
      </c>
      <c r="FZ35" s="25" t="str">
        <f t="shared" si="25"/>
        <v>#REF!</v>
      </c>
      <c r="GA35" s="25" t="str">
        <f t="shared" si="26"/>
        <v>#REF!</v>
      </c>
      <c r="GB35" s="25" t="s">
        <v>76</v>
      </c>
      <c r="GC35" s="25">
        <f t="shared" si="27"/>
        <v>0</v>
      </c>
      <c r="GD35" s="25">
        <f t="shared" si="28"/>
        <v>0</v>
      </c>
      <c r="GE35" s="25">
        <f t="shared" si="29"/>
        <v>0</v>
      </c>
      <c r="GF35" s="25">
        <f t="shared" si="30"/>
        <v>0</v>
      </c>
      <c r="GG35" s="25">
        <f t="shared" si="31"/>
        <v>0</v>
      </c>
      <c r="GH35" s="25">
        <f t="shared" si="32"/>
        <v>-334.3772767</v>
      </c>
      <c r="GI35" s="25">
        <f t="shared" si="33"/>
        <v>-334.3772767</v>
      </c>
      <c r="GJ35" s="25">
        <f t="shared" si="34"/>
        <v>-334.3772767</v>
      </c>
      <c r="GK35" s="25">
        <f t="shared" si="35"/>
        <v>-334.3772767</v>
      </c>
      <c r="GL35" s="25">
        <f t="shared" si="36"/>
        <v>-334.3772767</v>
      </c>
      <c r="GM35" s="25">
        <f t="shared" si="37"/>
        <v>-334.3772767</v>
      </c>
      <c r="GN35" s="25">
        <f t="shared" si="38"/>
        <v>-334.3772767</v>
      </c>
      <c r="GO35" s="25">
        <f t="shared" si="39"/>
        <v>-2340.640937</v>
      </c>
      <c r="GP35" s="25">
        <f t="shared" si="40"/>
        <v>-1671.886383</v>
      </c>
      <c r="GQ35" s="27" t="str">
        <f t="shared" si="41"/>
        <v>#REF!</v>
      </c>
      <c r="GR35" s="28">
        <f t="shared" si="42"/>
        <v>-4012.52732</v>
      </c>
      <c r="GS35" s="29">
        <f t="shared" si="43"/>
        <v>-0.01828784451</v>
      </c>
      <c r="GT35" s="25" t="str">
        <f t="shared" si="44"/>
        <v>JUN</v>
      </c>
      <c r="GU35" s="25">
        <f t="shared" si="45"/>
        <v>0</v>
      </c>
      <c r="GV35" s="25">
        <f t="shared" si="46"/>
        <v>0</v>
      </c>
      <c r="GW35" s="25">
        <f t="shared" si="47"/>
        <v>0</v>
      </c>
      <c r="GX35" s="30">
        <f t="shared" si="48"/>
        <v>0</v>
      </c>
      <c r="GY35" s="30">
        <f t="shared" si="49"/>
        <v>0</v>
      </c>
      <c r="GZ35" s="30">
        <f t="shared" si="50"/>
        <v>-334.3772767</v>
      </c>
      <c r="HA35" s="30">
        <f t="shared" si="51"/>
        <v>-334.3772767</v>
      </c>
      <c r="HB35" s="30">
        <f t="shared" si="52"/>
        <v>-334.3772767</v>
      </c>
      <c r="HC35" s="30">
        <f t="shared" si="53"/>
        <v>-334.3772767</v>
      </c>
      <c r="HD35" s="30">
        <f t="shared" si="54"/>
        <v>-334.3772767</v>
      </c>
      <c r="HE35" s="30">
        <f t="shared" si="55"/>
        <v>-334.3772767</v>
      </c>
      <c r="HF35" s="30">
        <f t="shared" si="56"/>
        <v>-334.3772767</v>
      </c>
      <c r="HG35" s="30">
        <f t="shared" si="57"/>
        <v>-2340.640937</v>
      </c>
      <c r="HH35" s="30">
        <f t="shared" si="58"/>
        <v>-1671.886383</v>
      </c>
      <c r="HI35" s="27" t="str">
        <f t="shared" si="59"/>
        <v>#REF!</v>
      </c>
      <c r="HJ35" s="12"/>
      <c r="HK35" s="12">
        <v>0.0</v>
      </c>
      <c r="HL35" s="12">
        <v>0.0</v>
      </c>
      <c r="HM35" s="25" t="str">
        <f t="shared" si="60"/>
        <v>JUN</v>
      </c>
      <c r="HN35" s="12" t="str">
        <f t="shared" si="61"/>
        <v/>
      </c>
    </row>
    <row r="36" ht="13.5" customHeight="1">
      <c r="A36" s="12" t="str">
        <f t="shared" si="2"/>
        <v>139779</v>
      </c>
      <c r="B36" s="31" t="s">
        <v>0</v>
      </c>
      <c r="C36" s="32" t="s">
        <v>94</v>
      </c>
      <c r="D36" s="32" t="s">
        <v>95</v>
      </c>
      <c r="E36" s="33">
        <v>139779.0</v>
      </c>
      <c r="F36" s="31" t="s">
        <v>136</v>
      </c>
      <c r="G36" s="31" t="s">
        <v>117</v>
      </c>
      <c r="H36" s="34">
        <v>2245.0</v>
      </c>
      <c r="I36" s="31" t="s">
        <v>118</v>
      </c>
      <c r="J36" s="31" t="s">
        <v>104</v>
      </c>
      <c r="K36" s="34">
        <v>350000.0</v>
      </c>
      <c r="L36" s="17">
        <f t="shared" si="3"/>
        <v>196000</v>
      </c>
      <c r="M36" s="35">
        <v>0.56</v>
      </c>
      <c r="N36" s="31">
        <v>0.58</v>
      </c>
      <c r="O36" s="17">
        <f t="shared" si="4"/>
        <v>203000</v>
      </c>
      <c r="P36" s="36" t="s">
        <v>104</v>
      </c>
      <c r="Q36" s="37">
        <v>0.5769671107130863</v>
      </c>
      <c r="R36" s="38">
        <f t="shared" si="5"/>
        <v>201938.4887</v>
      </c>
      <c r="S36" s="36">
        <f t="shared" si="6"/>
        <v>16828.2074</v>
      </c>
      <c r="T36" s="36">
        <f t="shared" si="7"/>
        <v>5938.48875</v>
      </c>
      <c r="U36" s="39">
        <f t="shared" si="8"/>
        <v>0.03029841199</v>
      </c>
      <c r="V36" s="21">
        <v>0.5599806179775281</v>
      </c>
      <c r="W36" s="17">
        <f t="shared" si="9"/>
        <v>195993.2163</v>
      </c>
      <c r="X36" s="36">
        <f t="shared" si="10"/>
        <v>16332.76802</v>
      </c>
      <c r="Y36" s="17">
        <f t="shared" si="11"/>
        <v>-6.783707865</v>
      </c>
      <c r="Z36" s="20">
        <f t="shared" si="12"/>
        <v>-0.00003461075441</v>
      </c>
      <c r="AA36" s="40">
        <v>0.12</v>
      </c>
      <c r="AB36" s="35">
        <f t="shared" si="13"/>
        <v>0.5077310574</v>
      </c>
      <c r="AC36" s="35">
        <f t="shared" si="14"/>
        <v>177705.8701</v>
      </c>
      <c r="AD36" s="35">
        <f t="shared" si="15"/>
        <v>-24232.61865</v>
      </c>
      <c r="AE36" s="41">
        <f t="shared" si="16"/>
        <v>-0.12</v>
      </c>
      <c r="AF36" s="18">
        <f t="shared" si="17"/>
        <v>-18287.34619</v>
      </c>
      <c r="AG36" s="24">
        <f t="shared" si="18"/>
        <v>-0.09330601609</v>
      </c>
      <c r="AH36" s="31" t="s">
        <v>105</v>
      </c>
      <c r="AI36" s="31"/>
      <c r="AJ36" s="33" t="str">
        <f t="shared" si="19"/>
        <v>BD COLETA</v>
      </c>
      <c r="AK36" s="35">
        <f t="shared" si="20"/>
        <v>0.58</v>
      </c>
      <c r="AL36" s="17">
        <f t="shared" si="21"/>
        <v>203000</v>
      </c>
      <c r="AM36" s="17">
        <f t="shared" si="22"/>
        <v>7006.783708</v>
      </c>
      <c r="AN36" s="20">
        <f t="shared" si="23"/>
        <v>0.03575013381</v>
      </c>
      <c r="AO36" s="35"/>
      <c r="AP36" s="35"/>
      <c r="AQ36" s="35"/>
      <c r="AR36" s="35">
        <v>0.58</v>
      </c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18"/>
      <c r="BT36" s="18"/>
      <c r="BU36" s="25"/>
      <c r="BV36" s="25"/>
      <c r="BW36" s="25"/>
      <c r="BX36" s="25"/>
      <c r="BY36" s="25"/>
      <c r="BZ36" s="25"/>
      <c r="CA36" s="25"/>
      <c r="CB36" s="26"/>
      <c r="CC36" s="26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25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25" t="str">
        <f t="shared" ref="FN36:FY36" si="94">$AD36*#REF!</f>
        <v>#REF!</v>
      </c>
      <c r="FO36" s="25" t="str">
        <f t="shared" si="94"/>
        <v>#REF!</v>
      </c>
      <c r="FP36" s="25" t="str">
        <f t="shared" si="94"/>
        <v>#REF!</v>
      </c>
      <c r="FQ36" s="25" t="str">
        <f t="shared" si="94"/>
        <v>#REF!</v>
      </c>
      <c r="FR36" s="25" t="str">
        <f t="shared" si="94"/>
        <v>#REF!</v>
      </c>
      <c r="FS36" s="25" t="str">
        <f t="shared" si="94"/>
        <v>#REF!</v>
      </c>
      <c r="FT36" s="25" t="str">
        <f t="shared" si="94"/>
        <v>#REF!</v>
      </c>
      <c r="FU36" s="25" t="str">
        <f t="shared" si="94"/>
        <v>#REF!</v>
      </c>
      <c r="FV36" s="25" t="str">
        <f t="shared" si="94"/>
        <v>#REF!</v>
      </c>
      <c r="FW36" s="25" t="str">
        <f t="shared" si="94"/>
        <v>#REF!</v>
      </c>
      <c r="FX36" s="25" t="str">
        <f t="shared" si="94"/>
        <v>#REF!</v>
      </c>
      <c r="FY36" s="25" t="str">
        <f t="shared" si="94"/>
        <v>#REF!</v>
      </c>
      <c r="FZ36" s="25" t="str">
        <f t="shared" si="25"/>
        <v>#REF!</v>
      </c>
      <c r="GA36" s="25" t="str">
        <f t="shared" si="26"/>
        <v>#REF!</v>
      </c>
      <c r="GB36" s="25" t="s">
        <v>76</v>
      </c>
      <c r="GC36" s="25">
        <f t="shared" si="27"/>
        <v>0</v>
      </c>
      <c r="GD36" s="25">
        <f t="shared" si="28"/>
        <v>0</v>
      </c>
      <c r="GE36" s="25">
        <f t="shared" si="29"/>
        <v>0</v>
      </c>
      <c r="GF36" s="25">
        <f t="shared" si="30"/>
        <v>0</v>
      </c>
      <c r="GG36" s="25">
        <f t="shared" si="31"/>
        <v>0</v>
      </c>
      <c r="GH36" s="25">
        <f t="shared" si="32"/>
        <v>583.8986423</v>
      </c>
      <c r="GI36" s="25">
        <f t="shared" si="33"/>
        <v>583.8986423</v>
      </c>
      <c r="GJ36" s="25">
        <f t="shared" si="34"/>
        <v>583.8986423</v>
      </c>
      <c r="GK36" s="25">
        <f t="shared" si="35"/>
        <v>583.8986423</v>
      </c>
      <c r="GL36" s="25">
        <f t="shared" si="36"/>
        <v>583.8986423</v>
      </c>
      <c r="GM36" s="25">
        <f t="shared" si="37"/>
        <v>583.8986423</v>
      </c>
      <c r="GN36" s="25">
        <f t="shared" si="38"/>
        <v>583.8986423</v>
      </c>
      <c r="GO36" s="25">
        <f t="shared" si="39"/>
        <v>4087.290496</v>
      </c>
      <c r="GP36" s="25">
        <f t="shared" si="40"/>
        <v>2919.493212</v>
      </c>
      <c r="GQ36" s="27" t="str">
        <f t="shared" si="41"/>
        <v>#REF!</v>
      </c>
      <c r="GR36" s="28">
        <f t="shared" si="42"/>
        <v>7006.783708</v>
      </c>
      <c r="GS36" s="29">
        <f t="shared" si="43"/>
        <v>0.03575013381</v>
      </c>
      <c r="GT36" s="25" t="str">
        <f t="shared" si="44"/>
        <v>JUN</v>
      </c>
      <c r="GU36" s="25">
        <f t="shared" si="45"/>
        <v>0</v>
      </c>
      <c r="GV36" s="25">
        <f t="shared" si="46"/>
        <v>0</v>
      </c>
      <c r="GW36" s="25">
        <f t="shared" si="47"/>
        <v>0</v>
      </c>
      <c r="GX36" s="30">
        <f t="shared" si="48"/>
        <v>0</v>
      </c>
      <c r="GY36" s="30">
        <f t="shared" si="49"/>
        <v>0</v>
      </c>
      <c r="GZ36" s="30">
        <f t="shared" si="50"/>
        <v>583.8986423</v>
      </c>
      <c r="HA36" s="30">
        <f t="shared" si="51"/>
        <v>583.8986423</v>
      </c>
      <c r="HB36" s="30">
        <f t="shared" si="52"/>
        <v>583.8986423</v>
      </c>
      <c r="HC36" s="30">
        <f t="shared" si="53"/>
        <v>583.8986423</v>
      </c>
      <c r="HD36" s="30">
        <f t="shared" si="54"/>
        <v>583.8986423</v>
      </c>
      <c r="HE36" s="30">
        <f t="shared" si="55"/>
        <v>583.8986423</v>
      </c>
      <c r="HF36" s="30">
        <f t="shared" si="56"/>
        <v>583.8986423</v>
      </c>
      <c r="HG36" s="30">
        <f t="shared" si="57"/>
        <v>4087.290496</v>
      </c>
      <c r="HH36" s="30">
        <f t="shared" si="58"/>
        <v>2919.493212</v>
      </c>
      <c r="HI36" s="27" t="str">
        <f t="shared" si="59"/>
        <v>#REF!</v>
      </c>
      <c r="HJ36" s="12"/>
      <c r="HK36" s="12">
        <v>1.0</v>
      </c>
      <c r="HL36" s="12">
        <v>1.0</v>
      </c>
      <c r="HM36" s="25" t="str">
        <f t="shared" si="60"/>
        <v>JUN</v>
      </c>
      <c r="HN36" s="12" t="str">
        <f t="shared" si="61"/>
        <v/>
      </c>
    </row>
    <row r="37" ht="13.5" customHeight="1">
      <c r="A37" s="12" t="str">
        <f t="shared" si="2"/>
        <v>212236</v>
      </c>
      <c r="B37" s="31" t="s">
        <v>0</v>
      </c>
      <c r="C37" s="32" t="s">
        <v>94</v>
      </c>
      <c r="D37" s="32" t="s">
        <v>95</v>
      </c>
      <c r="E37" s="33">
        <v>212236.0</v>
      </c>
      <c r="F37" s="31" t="s">
        <v>124</v>
      </c>
      <c r="G37" s="31" t="s">
        <v>97</v>
      </c>
      <c r="H37" s="34">
        <v>2277.0</v>
      </c>
      <c r="I37" s="31" t="s">
        <v>131</v>
      </c>
      <c r="J37" s="31" t="s">
        <v>103</v>
      </c>
      <c r="K37" s="34">
        <v>521400.0</v>
      </c>
      <c r="L37" s="17">
        <f t="shared" si="3"/>
        <v>192918</v>
      </c>
      <c r="M37" s="35">
        <v>0.37</v>
      </c>
      <c r="N37" s="31">
        <v>0.39</v>
      </c>
      <c r="O37" s="17">
        <f t="shared" si="4"/>
        <v>203346</v>
      </c>
      <c r="P37" s="36" t="s">
        <v>104</v>
      </c>
      <c r="Q37" s="37">
        <v>0.38626284006723527</v>
      </c>
      <c r="R37" s="38">
        <f t="shared" si="5"/>
        <v>201397.4448</v>
      </c>
      <c r="S37" s="36">
        <f t="shared" si="6"/>
        <v>16783.1204</v>
      </c>
      <c r="T37" s="36">
        <f t="shared" si="7"/>
        <v>8479.444811</v>
      </c>
      <c r="U37" s="39">
        <f t="shared" si="8"/>
        <v>0.0439536218</v>
      </c>
      <c r="V37" s="21">
        <v>0.3972651227954509</v>
      </c>
      <c r="W37" s="17">
        <f t="shared" si="9"/>
        <v>207134.035</v>
      </c>
      <c r="X37" s="36">
        <f t="shared" si="10"/>
        <v>17261.16959</v>
      </c>
      <c r="Y37" s="17">
        <f t="shared" si="11"/>
        <v>14216.03503</v>
      </c>
      <c r="Z37" s="20">
        <f t="shared" si="12"/>
        <v>0.07368952107</v>
      </c>
      <c r="AA37" s="40">
        <v>0.12</v>
      </c>
      <c r="AB37" s="35">
        <f t="shared" si="13"/>
        <v>0.3399112993</v>
      </c>
      <c r="AC37" s="35">
        <f t="shared" si="14"/>
        <v>177229.7514</v>
      </c>
      <c r="AD37" s="35">
        <f t="shared" si="15"/>
        <v>-24167.69338</v>
      </c>
      <c r="AE37" s="41">
        <f t="shared" si="16"/>
        <v>-0.12</v>
      </c>
      <c r="AF37" s="18">
        <f t="shared" si="17"/>
        <v>-29904.28359</v>
      </c>
      <c r="AG37" s="24">
        <f t="shared" si="18"/>
        <v>-0.1443716557</v>
      </c>
      <c r="AH37" s="31" t="s">
        <v>105</v>
      </c>
      <c r="AI37" s="31"/>
      <c r="AJ37" s="33" t="str">
        <f t="shared" si="19"/>
        <v>BD COLETA</v>
      </c>
      <c r="AK37" s="35">
        <f t="shared" si="20"/>
        <v>0.39</v>
      </c>
      <c r="AL37" s="17">
        <f t="shared" si="21"/>
        <v>203346</v>
      </c>
      <c r="AM37" s="17">
        <f t="shared" si="22"/>
        <v>-3788.035026</v>
      </c>
      <c r="AN37" s="20">
        <f t="shared" si="23"/>
        <v>-0.01828784451</v>
      </c>
      <c r="AO37" s="35"/>
      <c r="AP37" s="35"/>
      <c r="AQ37" s="35"/>
      <c r="AR37" s="35">
        <v>0.39</v>
      </c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18"/>
      <c r="BT37" s="18"/>
      <c r="BU37" s="25"/>
      <c r="BV37" s="25"/>
      <c r="BW37" s="25"/>
      <c r="BX37" s="25"/>
      <c r="BY37" s="25"/>
      <c r="BZ37" s="25"/>
      <c r="CA37" s="25"/>
      <c r="CB37" s="26"/>
      <c r="CC37" s="26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25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25" t="str">
        <f t="shared" ref="FN37:FY37" si="95">$AD37*#REF!</f>
        <v>#REF!</v>
      </c>
      <c r="FO37" s="25" t="str">
        <f t="shared" si="95"/>
        <v>#REF!</v>
      </c>
      <c r="FP37" s="25" t="str">
        <f t="shared" si="95"/>
        <v>#REF!</v>
      </c>
      <c r="FQ37" s="25" t="str">
        <f t="shared" si="95"/>
        <v>#REF!</v>
      </c>
      <c r="FR37" s="25" t="str">
        <f t="shared" si="95"/>
        <v>#REF!</v>
      </c>
      <c r="FS37" s="25" t="str">
        <f t="shared" si="95"/>
        <v>#REF!</v>
      </c>
      <c r="FT37" s="25" t="str">
        <f t="shared" si="95"/>
        <v>#REF!</v>
      </c>
      <c r="FU37" s="25" t="str">
        <f t="shared" si="95"/>
        <v>#REF!</v>
      </c>
      <c r="FV37" s="25" t="str">
        <f t="shared" si="95"/>
        <v>#REF!</v>
      </c>
      <c r="FW37" s="25" t="str">
        <f t="shared" si="95"/>
        <v>#REF!</v>
      </c>
      <c r="FX37" s="25" t="str">
        <f t="shared" si="95"/>
        <v>#REF!</v>
      </c>
      <c r="FY37" s="25" t="str">
        <f t="shared" si="95"/>
        <v>#REF!</v>
      </c>
      <c r="FZ37" s="25" t="str">
        <f t="shared" si="25"/>
        <v>#REF!</v>
      </c>
      <c r="GA37" s="25" t="str">
        <f t="shared" si="26"/>
        <v>#REF!</v>
      </c>
      <c r="GB37" s="25" t="s">
        <v>76</v>
      </c>
      <c r="GC37" s="25">
        <f t="shared" si="27"/>
        <v>0</v>
      </c>
      <c r="GD37" s="25">
        <f t="shared" si="28"/>
        <v>0</v>
      </c>
      <c r="GE37" s="25">
        <f t="shared" si="29"/>
        <v>0</v>
      </c>
      <c r="GF37" s="25">
        <f t="shared" si="30"/>
        <v>0</v>
      </c>
      <c r="GG37" s="25">
        <f t="shared" si="31"/>
        <v>0</v>
      </c>
      <c r="GH37" s="25">
        <f t="shared" si="32"/>
        <v>-315.6695855</v>
      </c>
      <c r="GI37" s="25">
        <f t="shared" si="33"/>
        <v>-315.6695855</v>
      </c>
      <c r="GJ37" s="25">
        <f t="shared" si="34"/>
        <v>-315.6695855</v>
      </c>
      <c r="GK37" s="25">
        <f t="shared" si="35"/>
        <v>-315.6695855</v>
      </c>
      <c r="GL37" s="25">
        <f t="shared" si="36"/>
        <v>-315.6695855</v>
      </c>
      <c r="GM37" s="25">
        <f t="shared" si="37"/>
        <v>-315.6695855</v>
      </c>
      <c r="GN37" s="25">
        <f t="shared" si="38"/>
        <v>-315.6695855</v>
      </c>
      <c r="GO37" s="25">
        <f t="shared" si="39"/>
        <v>-2209.687098</v>
      </c>
      <c r="GP37" s="25">
        <f t="shared" si="40"/>
        <v>-1578.347927</v>
      </c>
      <c r="GQ37" s="27" t="str">
        <f t="shared" si="41"/>
        <v>#REF!</v>
      </c>
      <c r="GR37" s="28">
        <f t="shared" si="42"/>
        <v>-3788.035026</v>
      </c>
      <c r="GS37" s="29">
        <f t="shared" si="43"/>
        <v>-0.01828784451</v>
      </c>
      <c r="GT37" s="25" t="str">
        <f t="shared" si="44"/>
        <v>JUN</v>
      </c>
      <c r="GU37" s="25">
        <f t="shared" si="45"/>
        <v>0</v>
      </c>
      <c r="GV37" s="25">
        <f t="shared" si="46"/>
        <v>0</v>
      </c>
      <c r="GW37" s="25">
        <f t="shared" si="47"/>
        <v>0</v>
      </c>
      <c r="GX37" s="30">
        <f t="shared" si="48"/>
        <v>0</v>
      </c>
      <c r="GY37" s="30">
        <f t="shared" si="49"/>
        <v>0</v>
      </c>
      <c r="GZ37" s="30">
        <f t="shared" si="50"/>
        <v>-315.6695855</v>
      </c>
      <c r="HA37" s="30">
        <f t="shared" si="51"/>
        <v>-315.6695855</v>
      </c>
      <c r="HB37" s="30">
        <f t="shared" si="52"/>
        <v>-315.6695855</v>
      </c>
      <c r="HC37" s="30">
        <f t="shared" si="53"/>
        <v>-315.6695855</v>
      </c>
      <c r="HD37" s="30">
        <f t="shared" si="54"/>
        <v>-315.6695855</v>
      </c>
      <c r="HE37" s="30">
        <f t="shared" si="55"/>
        <v>-315.6695855</v>
      </c>
      <c r="HF37" s="30">
        <f t="shared" si="56"/>
        <v>-315.6695855</v>
      </c>
      <c r="HG37" s="30">
        <f t="shared" si="57"/>
        <v>-2209.687098</v>
      </c>
      <c r="HH37" s="30">
        <f t="shared" si="58"/>
        <v>-1578.347927</v>
      </c>
      <c r="HI37" s="27" t="str">
        <f t="shared" si="59"/>
        <v>#REF!</v>
      </c>
      <c r="HJ37" s="12"/>
      <c r="HK37" s="12">
        <v>0.0</v>
      </c>
      <c r="HL37" s="12">
        <v>0.0</v>
      </c>
      <c r="HM37" s="25" t="str">
        <f t="shared" si="60"/>
        <v>JUN</v>
      </c>
      <c r="HN37" s="12" t="str">
        <f t="shared" si="61"/>
        <v/>
      </c>
    </row>
    <row r="38" ht="13.5" customHeight="1">
      <c r="A38" s="12" t="str">
        <f t="shared" si="2"/>
        <v>150420</v>
      </c>
      <c r="B38" s="31" t="s">
        <v>0</v>
      </c>
      <c r="C38" s="32" t="s">
        <v>94</v>
      </c>
      <c r="D38" s="32" t="s">
        <v>107</v>
      </c>
      <c r="E38" s="33">
        <v>150420.0</v>
      </c>
      <c r="F38" s="31" t="s">
        <v>108</v>
      </c>
      <c r="G38" s="31" t="s">
        <v>137</v>
      </c>
      <c r="H38" s="34">
        <v>9209.0</v>
      </c>
      <c r="I38" s="31" t="s">
        <v>138</v>
      </c>
      <c r="J38" s="31" t="s">
        <v>139</v>
      </c>
      <c r="K38" s="34">
        <v>181008.0</v>
      </c>
      <c r="L38" s="17">
        <f t="shared" si="3"/>
        <v>186945.6</v>
      </c>
      <c r="M38" s="35">
        <v>1.0328029700344736</v>
      </c>
      <c r="N38" s="31">
        <v>0.74</v>
      </c>
      <c r="O38" s="17">
        <f t="shared" si="4"/>
        <v>133945.92</v>
      </c>
      <c r="P38" s="36" t="s">
        <v>104</v>
      </c>
      <c r="Q38" s="37">
        <v>0.7702578840709202</v>
      </c>
      <c r="R38" s="38">
        <f t="shared" si="5"/>
        <v>139422.8391</v>
      </c>
      <c r="S38" s="36">
        <f t="shared" si="6"/>
        <v>11618.56992</v>
      </c>
      <c r="T38" s="36">
        <f t="shared" si="7"/>
        <v>-47522.76092</v>
      </c>
      <c r="U38" s="39">
        <f t="shared" si="8"/>
        <v>-0.2542063623</v>
      </c>
      <c r="V38" s="21">
        <v>0.7946273243714965</v>
      </c>
      <c r="W38" s="17">
        <f t="shared" si="9"/>
        <v>143833.9027</v>
      </c>
      <c r="X38" s="36">
        <f t="shared" si="10"/>
        <v>11986.15856</v>
      </c>
      <c r="Y38" s="17">
        <f t="shared" si="11"/>
        <v>-43111.69727</v>
      </c>
      <c r="Z38" s="20">
        <f t="shared" si="12"/>
        <v>-0.2306109225</v>
      </c>
      <c r="AA38" s="40">
        <v>0.12</v>
      </c>
      <c r="AB38" s="35">
        <f t="shared" si="13"/>
        <v>0.677826938</v>
      </c>
      <c r="AC38" s="35">
        <f t="shared" si="14"/>
        <v>122692.0984</v>
      </c>
      <c r="AD38" s="35">
        <f t="shared" si="15"/>
        <v>-16730.74069</v>
      </c>
      <c r="AE38" s="41">
        <f t="shared" si="16"/>
        <v>-0.12</v>
      </c>
      <c r="AF38" s="18">
        <f t="shared" si="17"/>
        <v>-21141.80434</v>
      </c>
      <c r="AG38" s="24">
        <f t="shared" si="18"/>
        <v>-0.1469876291</v>
      </c>
      <c r="AH38" s="31" t="s">
        <v>105</v>
      </c>
      <c r="AI38" s="31"/>
      <c r="AJ38" s="33" t="str">
        <f t="shared" si="19"/>
        <v>BD COLETA</v>
      </c>
      <c r="AK38" s="35">
        <f t="shared" si="20"/>
        <v>0.74</v>
      </c>
      <c r="AL38" s="17">
        <f t="shared" si="21"/>
        <v>133945.92</v>
      </c>
      <c r="AM38" s="17">
        <f t="shared" si="22"/>
        <v>-9887.98273</v>
      </c>
      <c r="AN38" s="20">
        <f t="shared" si="23"/>
        <v>-0.06874584185</v>
      </c>
      <c r="AO38" s="35"/>
      <c r="AP38" s="35"/>
      <c r="AQ38" s="35"/>
      <c r="AR38" s="35">
        <v>0.74</v>
      </c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18"/>
      <c r="BT38" s="18"/>
      <c r="BU38" s="25"/>
      <c r="BV38" s="25"/>
      <c r="BW38" s="25"/>
      <c r="BX38" s="25"/>
      <c r="BY38" s="25">
        <v>1.30832</v>
      </c>
      <c r="BZ38" s="25" t="s">
        <v>109</v>
      </c>
      <c r="CA38" s="25"/>
      <c r="CB38" s="26"/>
      <c r="CC38" s="26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25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25" t="str">
        <f t="shared" ref="FN38:FY38" si="96">$AD38*#REF!</f>
        <v>#REF!</v>
      </c>
      <c r="FO38" s="25" t="str">
        <f t="shared" si="96"/>
        <v>#REF!</v>
      </c>
      <c r="FP38" s="25" t="str">
        <f t="shared" si="96"/>
        <v>#REF!</v>
      </c>
      <c r="FQ38" s="25" t="str">
        <f t="shared" si="96"/>
        <v>#REF!</v>
      </c>
      <c r="FR38" s="25" t="str">
        <f t="shared" si="96"/>
        <v>#REF!</v>
      </c>
      <c r="FS38" s="25" t="str">
        <f t="shared" si="96"/>
        <v>#REF!</v>
      </c>
      <c r="FT38" s="25" t="str">
        <f t="shared" si="96"/>
        <v>#REF!</v>
      </c>
      <c r="FU38" s="25" t="str">
        <f t="shared" si="96"/>
        <v>#REF!</v>
      </c>
      <c r="FV38" s="25" t="str">
        <f t="shared" si="96"/>
        <v>#REF!</v>
      </c>
      <c r="FW38" s="25" t="str">
        <f t="shared" si="96"/>
        <v>#REF!</v>
      </c>
      <c r="FX38" s="25" t="str">
        <f t="shared" si="96"/>
        <v>#REF!</v>
      </c>
      <c r="FY38" s="25" t="str">
        <f t="shared" si="96"/>
        <v>#REF!</v>
      </c>
      <c r="FZ38" s="25" t="str">
        <f t="shared" si="25"/>
        <v>#REF!</v>
      </c>
      <c r="GA38" s="25" t="str">
        <f t="shared" si="26"/>
        <v>#REF!</v>
      </c>
      <c r="GB38" s="25" t="s">
        <v>76</v>
      </c>
      <c r="GC38" s="25">
        <f t="shared" si="27"/>
        <v>0</v>
      </c>
      <c r="GD38" s="25">
        <f t="shared" si="28"/>
        <v>0</v>
      </c>
      <c r="GE38" s="25">
        <f t="shared" si="29"/>
        <v>0</v>
      </c>
      <c r="GF38" s="25">
        <f t="shared" si="30"/>
        <v>0</v>
      </c>
      <c r="GG38" s="25">
        <f t="shared" si="31"/>
        <v>0</v>
      </c>
      <c r="GH38" s="25">
        <f t="shared" si="32"/>
        <v>-823.9985608</v>
      </c>
      <c r="GI38" s="25">
        <f t="shared" si="33"/>
        <v>-823.9985608</v>
      </c>
      <c r="GJ38" s="25">
        <f t="shared" si="34"/>
        <v>-823.9985608</v>
      </c>
      <c r="GK38" s="25">
        <f t="shared" si="35"/>
        <v>-823.9985608</v>
      </c>
      <c r="GL38" s="25">
        <f t="shared" si="36"/>
        <v>-823.9985608</v>
      </c>
      <c r="GM38" s="25">
        <f t="shared" si="37"/>
        <v>-823.9985608</v>
      </c>
      <c r="GN38" s="25">
        <f t="shared" si="38"/>
        <v>-823.9985608</v>
      </c>
      <c r="GO38" s="25">
        <f t="shared" si="39"/>
        <v>-5767.989926</v>
      </c>
      <c r="GP38" s="25">
        <f t="shared" si="40"/>
        <v>-4119.992804</v>
      </c>
      <c r="GQ38" s="27" t="str">
        <f t="shared" si="41"/>
        <v>#REF!</v>
      </c>
      <c r="GR38" s="28">
        <f t="shared" si="42"/>
        <v>-9887.98273</v>
      </c>
      <c r="GS38" s="29">
        <f t="shared" si="43"/>
        <v>-0.06874584185</v>
      </c>
      <c r="GT38" s="25" t="str">
        <f t="shared" si="44"/>
        <v>JUN</v>
      </c>
      <c r="GU38" s="25">
        <f t="shared" si="45"/>
        <v>0</v>
      </c>
      <c r="GV38" s="25">
        <f t="shared" si="46"/>
        <v>0</v>
      </c>
      <c r="GW38" s="25">
        <f t="shared" si="47"/>
        <v>0</v>
      </c>
      <c r="GX38" s="30">
        <f t="shared" si="48"/>
        <v>0</v>
      </c>
      <c r="GY38" s="30">
        <f t="shared" si="49"/>
        <v>0</v>
      </c>
      <c r="GZ38" s="30">
        <f t="shared" si="50"/>
        <v>-823.9985608</v>
      </c>
      <c r="HA38" s="30">
        <f t="shared" si="51"/>
        <v>-823.9985608</v>
      </c>
      <c r="HB38" s="30">
        <f t="shared" si="52"/>
        <v>-823.9985608</v>
      </c>
      <c r="HC38" s="30">
        <f t="shared" si="53"/>
        <v>-823.9985608</v>
      </c>
      <c r="HD38" s="30">
        <f t="shared" si="54"/>
        <v>-823.9985608</v>
      </c>
      <c r="HE38" s="30">
        <f t="shared" si="55"/>
        <v>-823.9985608</v>
      </c>
      <c r="HF38" s="30">
        <f t="shared" si="56"/>
        <v>-823.9985608</v>
      </c>
      <c r="HG38" s="30">
        <f t="shared" si="57"/>
        <v>-5767.989926</v>
      </c>
      <c r="HH38" s="30">
        <f t="shared" si="58"/>
        <v>-4119.992804</v>
      </c>
      <c r="HI38" s="27" t="str">
        <f t="shared" si="59"/>
        <v>#REF!</v>
      </c>
      <c r="HJ38" s="12"/>
      <c r="HK38" s="12">
        <v>0.0</v>
      </c>
      <c r="HL38" s="12">
        <v>0.0</v>
      </c>
      <c r="HM38" s="25" t="str">
        <f t="shared" si="60"/>
        <v>JUN</v>
      </c>
      <c r="HN38" s="12" t="str">
        <f t="shared" si="61"/>
        <v/>
      </c>
    </row>
    <row r="39" ht="13.5" customHeight="1">
      <c r="A39" s="12" t="str">
        <f t="shared" si="2"/>
        <v>212234</v>
      </c>
      <c r="B39" s="31" t="s">
        <v>0</v>
      </c>
      <c r="C39" s="32" t="s">
        <v>94</v>
      </c>
      <c r="D39" s="32" t="s">
        <v>95</v>
      </c>
      <c r="E39" s="33">
        <v>212234.0</v>
      </c>
      <c r="F39" s="31" t="s">
        <v>135</v>
      </c>
      <c r="G39" s="31" t="s">
        <v>97</v>
      </c>
      <c r="H39" s="34">
        <v>2277.0</v>
      </c>
      <c r="I39" s="31" t="s">
        <v>131</v>
      </c>
      <c r="J39" s="31" t="s">
        <v>103</v>
      </c>
      <c r="K39" s="34">
        <v>314500.0</v>
      </c>
      <c r="L39" s="17">
        <f t="shared" si="3"/>
        <v>176117.48</v>
      </c>
      <c r="M39" s="35">
        <v>0.5599919872813991</v>
      </c>
      <c r="N39" s="31">
        <v>0.58</v>
      </c>
      <c r="O39" s="17">
        <f t="shared" si="4"/>
        <v>182410</v>
      </c>
      <c r="P39" s="36" t="s">
        <v>104</v>
      </c>
      <c r="Q39" s="37">
        <v>0.6061713249835201</v>
      </c>
      <c r="R39" s="38">
        <f t="shared" si="5"/>
        <v>190640.8817</v>
      </c>
      <c r="S39" s="36">
        <f t="shared" si="6"/>
        <v>15886.74014</v>
      </c>
      <c r="T39" s="36">
        <f t="shared" si="7"/>
        <v>14523.40171</v>
      </c>
      <c r="U39" s="39">
        <f t="shared" si="8"/>
        <v>0.08246428297</v>
      </c>
      <c r="V39" s="21">
        <v>0.623169200968523</v>
      </c>
      <c r="W39" s="17">
        <f t="shared" si="9"/>
        <v>195986.7137</v>
      </c>
      <c r="X39" s="36">
        <f t="shared" si="10"/>
        <v>16332.22614</v>
      </c>
      <c r="Y39" s="17">
        <f t="shared" si="11"/>
        <v>19869.2337</v>
      </c>
      <c r="Z39" s="20">
        <f t="shared" si="12"/>
        <v>0.1128180673</v>
      </c>
      <c r="AA39" s="40">
        <v>0.12</v>
      </c>
      <c r="AB39" s="35">
        <f t="shared" si="13"/>
        <v>0.533430766</v>
      </c>
      <c r="AC39" s="35">
        <f t="shared" si="14"/>
        <v>167763.9759</v>
      </c>
      <c r="AD39" s="35">
        <f t="shared" si="15"/>
        <v>-22876.9058</v>
      </c>
      <c r="AE39" s="41">
        <f t="shared" si="16"/>
        <v>-0.12</v>
      </c>
      <c r="AF39" s="18">
        <f t="shared" si="17"/>
        <v>-28222.7378</v>
      </c>
      <c r="AG39" s="24">
        <f t="shared" si="18"/>
        <v>-0.1440033218</v>
      </c>
      <c r="AH39" s="31" t="s">
        <v>105</v>
      </c>
      <c r="AI39" s="31"/>
      <c r="AJ39" s="33" t="str">
        <f t="shared" si="19"/>
        <v>BD COLETA</v>
      </c>
      <c r="AK39" s="35">
        <f t="shared" si="20"/>
        <v>0.58</v>
      </c>
      <c r="AL39" s="17">
        <f t="shared" si="21"/>
        <v>182410</v>
      </c>
      <c r="AM39" s="17">
        <f t="shared" si="22"/>
        <v>-13576.7137</v>
      </c>
      <c r="AN39" s="20">
        <f t="shared" si="23"/>
        <v>-0.06927364334</v>
      </c>
      <c r="AO39" s="35"/>
      <c r="AP39" s="35"/>
      <c r="AQ39" s="35"/>
      <c r="AR39" s="35">
        <v>0.58</v>
      </c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18"/>
      <c r="BT39" s="18"/>
      <c r="BU39" s="25"/>
      <c r="BV39" s="25"/>
      <c r="BW39" s="25"/>
      <c r="BX39" s="25"/>
      <c r="BY39" s="25"/>
      <c r="BZ39" s="25"/>
      <c r="CA39" s="25"/>
      <c r="CB39" s="26"/>
      <c r="CC39" s="26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25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25" t="str">
        <f t="shared" ref="FN39:FY39" si="97">$AD39*#REF!</f>
        <v>#REF!</v>
      </c>
      <c r="FO39" s="25" t="str">
        <f t="shared" si="97"/>
        <v>#REF!</v>
      </c>
      <c r="FP39" s="25" t="str">
        <f t="shared" si="97"/>
        <v>#REF!</v>
      </c>
      <c r="FQ39" s="25" t="str">
        <f t="shared" si="97"/>
        <v>#REF!</v>
      </c>
      <c r="FR39" s="25" t="str">
        <f t="shared" si="97"/>
        <v>#REF!</v>
      </c>
      <c r="FS39" s="25" t="str">
        <f t="shared" si="97"/>
        <v>#REF!</v>
      </c>
      <c r="FT39" s="25" t="str">
        <f t="shared" si="97"/>
        <v>#REF!</v>
      </c>
      <c r="FU39" s="25" t="str">
        <f t="shared" si="97"/>
        <v>#REF!</v>
      </c>
      <c r="FV39" s="25" t="str">
        <f t="shared" si="97"/>
        <v>#REF!</v>
      </c>
      <c r="FW39" s="25" t="str">
        <f t="shared" si="97"/>
        <v>#REF!</v>
      </c>
      <c r="FX39" s="25" t="str">
        <f t="shared" si="97"/>
        <v>#REF!</v>
      </c>
      <c r="FY39" s="25" t="str">
        <f t="shared" si="97"/>
        <v>#REF!</v>
      </c>
      <c r="FZ39" s="25" t="str">
        <f t="shared" si="25"/>
        <v>#REF!</v>
      </c>
      <c r="GA39" s="25" t="str">
        <f t="shared" si="26"/>
        <v>#REF!</v>
      </c>
      <c r="GB39" s="25" t="s">
        <v>76</v>
      </c>
      <c r="GC39" s="25">
        <f t="shared" si="27"/>
        <v>0</v>
      </c>
      <c r="GD39" s="25">
        <f t="shared" si="28"/>
        <v>0</v>
      </c>
      <c r="GE39" s="25">
        <f t="shared" si="29"/>
        <v>0</v>
      </c>
      <c r="GF39" s="25">
        <f t="shared" si="30"/>
        <v>0</v>
      </c>
      <c r="GG39" s="25">
        <f t="shared" si="31"/>
        <v>0</v>
      </c>
      <c r="GH39" s="25">
        <f t="shared" si="32"/>
        <v>-1131.392809</v>
      </c>
      <c r="GI39" s="25">
        <f t="shared" si="33"/>
        <v>-1131.392809</v>
      </c>
      <c r="GJ39" s="25">
        <f t="shared" si="34"/>
        <v>-1131.392809</v>
      </c>
      <c r="GK39" s="25">
        <f t="shared" si="35"/>
        <v>-1131.392809</v>
      </c>
      <c r="GL39" s="25">
        <f t="shared" si="36"/>
        <v>-1131.392809</v>
      </c>
      <c r="GM39" s="25">
        <f t="shared" si="37"/>
        <v>-1131.392809</v>
      </c>
      <c r="GN39" s="25">
        <f t="shared" si="38"/>
        <v>-1131.392809</v>
      </c>
      <c r="GO39" s="25">
        <f t="shared" si="39"/>
        <v>-7919.749661</v>
      </c>
      <c r="GP39" s="25">
        <f t="shared" si="40"/>
        <v>-5656.964044</v>
      </c>
      <c r="GQ39" s="27" t="str">
        <f t="shared" si="41"/>
        <v>#REF!</v>
      </c>
      <c r="GR39" s="28">
        <f t="shared" si="42"/>
        <v>-13576.7137</v>
      </c>
      <c r="GS39" s="29">
        <f t="shared" si="43"/>
        <v>-0.06927364334</v>
      </c>
      <c r="GT39" s="25" t="str">
        <f t="shared" si="44"/>
        <v>JUN</v>
      </c>
      <c r="GU39" s="25">
        <f t="shared" si="45"/>
        <v>0</v>
      </c>
      <c r="GV39" s="25">
        <f t="shared" si="46"/>
        <v>0</v>
      </c>
      <c r="GW39" s="25">
        <f t="shared" si="47"/>
        <v>0</v>
      </c>
      <c r="GX39" s="30">
        <f t="shared" si="48"/>
        <v>0</v>
      </c>
      <c r="GY39" s="30">
        <f t="shared" si="49"/>
        <v>0</v>
      </c>
      <c r="GZ39" s="30">
        <f t="shared" si="50"/>
        <v>-1131.392809</v>
      </c>
      <c r="HA39" s="30">
        <f t="shared" si="51"/>
        <v>-1131.392809</v>
      </c>
      <c r="HB39" s="30">
        <f t="shared" si="52"/>
        <v>-1131.392809</v>
      </c>
      <c r="HC39" s="30">
        <f t="shared" si="53"/>
        <v>-1131.392809</v>
      </c>
      <c r="HD39" s="30">
        <f t="shared" si="54"/>
        <v>-1131.392809</v>
      </c>
      <c r="HE39" s="30">
        <f t="shared" si="55"/>
        <v>-1131.392809</v>
      </c>
      <c r="HF39" s="30">
        <f t="shared" si="56"/>
        <v>-1131.392809</v>
      </c>
      <c r="HG39" s="30">
        <f t="shared" si="57"/>
        <v>-7919.749661</v>
      </c>
      <c r="HH39" s="30">
        <f t="shared" si="58"/>
        <v>-5656.964044</v>
      </c>
      <c r="HI39" s="27" t="str">
        <f t="shared" si="59"/>
        <v>#REF!</v>
      </c>
      <c r="HJ39" s="12"/>
      <c r="HK39" s="12">
        <v>0.0</v>
      </c>
      <c r="HL39" s="12">
        <v>0.0</v>
      </c>
      <c r="HM39" s="25" t="str">
        <f t="shared" si="60"/>
        <v>JUN</v>
      </c>
      <c r="HN39" s="12" t="str">
        <f t="shared" si="61"/>
        <v/>
      </c>
    </row>
    <row r="40" ht="13.5" customHeight="1">
      <c r="A40" s="12" t="str">
        <f t="shared" si="2"/>
        <v>152794</v>
      </c>
      <c r="B40" s="31" t="s">
        <v>0</v>
      </c>
      <c r="C40" s="32" t="s">
        <v>94</v>
      </c>
      <c r="D40" s="32" t="s">
        <v>95</v>
      </c>
      <c r="E40" s="33">
        <v>152794.0</v>
      </c>
      <c r="F40" s="31" t="s">
        <v>115</v>
      </c>
      <c r="G40" s="31" t="s">
        <v>97</v>
      </c>
      <c r="H40" s="34">
        <v>2277.0</v>
      </c>
      <c r="I40" s="31" t="s">
        <v>131</v>
      </c>
      <c r="J40" s="31" t="s">
        <v>132</v>
      </c>
      <c r="K40" s="34">
        <v>64050.0</v>
      </c>
      <c r="L40" s="17">
        <f t="shared" si="3"/>
        <v>175961.5</v>
      </c>
      <c r="M40" s="35">
        <v>2.7472521467603435</v>
      </c>
      <c r="N40" s="31">
        <v>1.22</v>
      </c>
      <c r="O40" s="17">
        <f t="shared" si="4"/>
        <v>78141</v>
      </c>
      <c r="P40" s="36" t="s">
        <v>104</v>
      </c>
      <c r="Q40" s="37">
        <v>1.3888301368043565</v>
      </c>
      <c r="R40" s="38">
        <f t="shared" si="5"/>
        <v>88954.57026</v>
      </c>
      <c r="S40" s="36">
        <f t="shared" si="6"/>
        <v>7412.880855</v>
      </c>
      <c r="T40" s="36">
        <f t="shared" si="7"/>
        <v>-87006.92974</v>
      </c>
      <c r="U40" s="39">
        <f t="shared" si="8"/>
        <v>-0.4944657197</v>
      </c>
      <c r="V40" s="21">
        <v>1.508974319267002</v>
      </c>
      <c r="W40" s="17">
        <f t="shared" si="9"/>
        <v>96649.80515</v>
      </c>
      <c r="X40" s="36">
        <f t="shared" si="10"/>
        <v>8054.150429</v>
      </c>
      <c r="Y40" s="17">
        <f t="shared" si="11"/>
        <v>-79311.69485</v>
      </c>
      <c r="Z40" s="20">
        <f t="shared" si="12"/>
        <v>-0.4507332277</v>
      </c>
      <c r="AA40" s="40">
        <v>0.12</v>
      </c>
      <c r="AB40" s="35">
        <f t="shared" si="13"/>
        <v>1.22217052</v>
      </c>
      <c r="AC40" s="35">
        <f t="shared" si="14"/>
        <v>78280.02183</v>
      </c>
      <c r="AD40" s="35">
        <f t="shared" si="15"/>
        <v>-10674.54843</v>
      </c>
      <c r="AE40" s="41">
        <f t="shared" si="16"/>
        <v>-0.12</v>
      </c>
      <c r="AF40" s="18">
        <f t="shared" si="17"/>
        <v>-18369.78332</v>
      </c>
      <c r="AG40" s="24">
        <f t="shared" si="18"/>
        <v>-0.1900653942</v>
      </c>
      <c r="AH40" s="31" t="s">
        <v>105</v>
      </c>
      <c r="AI40" s="31"/>
      <c r="AJ40" s="33" t="str">
        <f t="shared" si="19"/>
        <v>BD COLETA</v>
      </c>
      <c r="AK40" s="35">
        <f t="shared" si="20"/>
        <v>1.22</v>
      </c>
      <c r="AL40" s="17">
        <f t="shared" si="21"/>
        <v>78141</v>
      </c>
      <c r="AM40" s="17">
        <f t="shared" si="22"/>
        <v>-18508.80515</v>
      </c>
      <c r="AN40" s="20">
        <f t="shared" si="23"/>
        <v>-0.191503802</v>
      </c>
      <c r="AO40" s="35"/>
      <c r="AP40" s="35"/>
      <c r="AQ40" s="35"/>
      <c r="AR40" s="35">
        <v>1.22</v>
      </c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18"/>
      <c r="BT40" s="18"/>
      <c r="BU40" s="25"/>
      <c r="BV40" s="25"/>
      <c r="BW40" s="25"/>
      <c r="BX40" s="25"/>
      <c r="BY40" s="25"/>
      <c r="BZ40" s="25"/>
      <c r="CA40" s="25"/>
      <c r="CB40" s="26"/>
      <c r="CC40" s="26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25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25" t="str">
        <f t="shared" ref="FN40:FY40" si="98">$AD40*#REF!</f>
        <v>#REF!</v>
      </c>
      <c r="FO40" s="25" t="str">
        <f t="shared" si="98"/>
        <v>#REF!</v>
      </c>
      <c r="FP40" s="25" t="str">
        <f t="shared" si="98"/>
        <v>#REF!</v>
      </c>
      <c r="FQ40" s="25" t="str">
        <f t="shared" si="98"/>
        <v>#REF!</v>
      </c>
      <c r="FR40" s="25" t="str">
        <f t="shared" si="98"/>
        <v>#REF!</v>
      </c>
      <c r="FS40" s="25" t="str">
        <f t="shared" si="98"/>
        <v>#REF!</v>
      </c>
      <c r="FT40" s="25" t="str">
        <f t="shared" si="98"/>
        <v>#REF!</v>
      </c>
      <c r="FU40" s="25" t="str">
        <f t="shared" si="98"/>
        <v>#REF!</v>
      </c>
      <c r="FV40" s="25" t="str">
        <f t="shared" si="98"/>
        <v>#REF!</v>
      </c>
      <c r="FW40" s="25" t="str">
        <f t="shared" si="98"/>
        <v>#REF!</v>
      </c>
      <c r="FX40" s="25" t="str">
        <f t="shared" si="98"/>
        <v>#REF!</v>
      </c>
      <c r="FY40" s="25" t="str">
        <f t="shared" si="98"/>
        <v>#REF!</v>
      </c>
      <c r="FZ40" s="25" t="str">
        <f t="shared" si="25"/>
        <v>#REF!</v>
      </c>
      <c r="GA40" s="25" t="str">
        <f t="shared" si="26"/>
        <v>#REF!</v>
      </c>
      <c r="GB40" s="25" t="s">
        <v>76</v>
      </c>
      <c r="GC40" s="25">
        <f t="shared" si="27"/>
        <v>0</v>
      </c>
      <c r="GD40" s="25">
        <f t="shared" si="28"/>
        <v>0</v>
      </c>
      <c r="GE40" s="25">
        <f t="shared" si="29"/>
        <v>0</v>
      </c>
      <c r="GF40" s="25">
        <f t="shared" si="30"/>
        <v>0</v>
      </c>
      <c r="GG40" s="25">
        <f t="shared" si="31"/>
        <v>0</v>
      </c>
      <c r="GH40" s="25">
        <f t="shared" si="32"/>
        <v>-1542.400429</v>
      </c>
      <c r="GI40" s="25">
        <f t="shared" si="33"/>
        <v>-1542.400429</v>
      </c>
      <c r="GJ40" s="25">
        <f t="shared" si="34"/>
        <v>-1542.400429</v>
      </c>
      <c r="GK40" s="25">
        <f t="shared" si="35"/>
        <v>-1542.400429</v>
      </c>
      <c r="GL40" s="25">
        <f t="shared" si="36"/>
        <v>-1542.400429</v>
      </c>
      <c r="GM40" s="25">
        <f t="shared" si="37"/>
        <v>-1542.400429</v>
      </c>
      <c r="GN40" s="25">
        <f t="shared" si="38"/>
        <v>-1542.400429</v>
      </c>
      <c r="GO40" s="25">
        <f t="shared" si="39"/>
        <v>-10796.803</v>
      </c>
      <c r="GP40" s="25">
        <f t="shared" si="40"/>
        <v>-7712.002145</v>
      </c>
      <c r="GQ40" s="27" t="str">
        <f t="shared" si="41"/>
        <v>#REF!</v>
      </c>
      <c r="GR40" s="28">
        <f t="shared" si="42"/>
        <v>-18508.80515</v>
      </c>
      <c r="GS40" s="29">
        <f t="shared" si="43"/>
        <v>-0.191503802</v>
      </c>
      <c r="GT40" s="25" t="str">
        <f t="shared" si="44"/>
        <v>JUN</v>
      </c>
      <c r="GU40" s="25">
        <f t="shared" si="45"/>
        <v>0</v>
      </c>
      <c r="GV40" s="25">
        <f t="shared" si="46"/>
        <v>0</v>
      </c>
      <c r="GW40" s="25">
        <f t="shared" si="47"/>
        <v>0</v>
      </c>
      <c r="GX40" s="30">
        <f t="shared" si="48"/>
        <v>0</v>
      </c>
      <c r="GY40" s="30">
        <f t="shared" si="49"/>
        <v>0</v>
      </c>
      <c r="GZ40" s="30">
        <f t="shared" si="50"/>
        <v>-1542.400429</v>
      </c>
      <c r="HA40" s="30">
        <f t="shared" si="51"/>
        <v>-1542.400429</v>
      </c>
      <c r="HB40" s="30">
        <f t="shared" si="52"/>
        <v>-1542.400429</v>
      </c>
      <c r="HC40" s="30">
        <f t="shared" si="53"/>
        <v>-1542.400429</v>
      </c>
      <c r="HD40" s="30">
        <f t="shared" si="54"/>
        <v>-1542.400429</v>
      </c>
      <c r="HE40" s="30">
        <f t="shared" si="55"/>
        <v>-1542.400429</v>
      </c>
      <c r="HF40" s="30">
        <f t="shared" si="56"/>
        <v>-1542.400429</v>
      </c>
      <c r="HG40" s="30">
        <f t="shared" si="57"/>
        <v>-10796.803</v>
      </c>
      <c r="HH40" s="30">
        <f t="shared" si="58"/>
        <v>-7712.002145</v>
      </c>
      <c r="HI40" s="27" t="str">
        <f t="shared" si="59"/>
        <v>#REF!</v>
      </c>
      <c r="HJ40" s="12"/>
      <c r="HK40" s="12">
        <v>0.0</v>
      </c>
      <c r="HL40" s="12">
        <v>0.0</v>
      </c>
      <c r="HM40" s="25" t="str">
        <f t="shared" si="60"/>
        <v>JUN</v>
      </c>
      <c r="HN40" s="12" t="str">
        <f t="shared" si="61"/>
        <v/>
      </c>
    </row>
    <row r="41" ht="13.5" customHeight="1">
      <c r="A41" s="12" t="str">
        <f t="shared" si="2"/>
        <v>150420</v>
      </c>
      <c r="B41" s="31" t="s">
        <v>0</v>
      </c>
      <c r="C41" s="32" t="s">
        <v>94</v>
      </c>
      <c r="D41" s="32" t="s">
        <v>107</v>
      </c>
      <c r="E41" s="33">
        <v>150420.0</v>
      </c>
      <c r="F41" s="31" t="s">
        <v>108</v>
      </c>
      <c r="G41" s="31" t="s">
        <v>126</v>
      </c>
      <c r="H41" s="34">
        <v>2043.0</v>
      </c>
      <c r="I41" s="31" t="s">
        <v>127</v>
      </c>
      <c r="J41" s="31" t="s">
        <v>103</v>
      </c>
      <c r="K41" s="34">
        <v>253248.0</v>
      </c>
      <c r="L41" s="17">
        <f t="shared" si="3"/>
        <v>169676.16</v>
      </c>
      <c r="M41" s="35">
        <v>0.67</v>
      </c>
      <c r="N41" s="31">
        <v>0.74</v>
      </c>
      <c r="O41" s="17">
        <f t="shared" si="4"/>
        <v>187403.52</v>
      </c>
      <c r="P41" s="36" t="s">
        <v>104</v>
      </c>
      <c r="Q41" s="37">
        <v>0.7702578840709202</v>
      </c>
      <c r="R41" s="38">
        <f t="shared" si="5"/>
        <v>195066.2686</v>
      </c>
      <c r="S41" s="36">
        <f t="shared" si="6"/>
        <v>16255.52239</v>
      </c>
      <c r="T41" s="36">
        <f t="shared" si="7"/>
        <v>25390.10863</v>
      </c>
      <c r="U41" s="39">
        <f t="shared" si="8"/>
        <v>0.1496386329</v>
      </c>
      <c r="V41" s="21">
        <v>0.7946273243714965</v>
      </c>
      <c r="W41" s="17">
        <f t="shared" si="9"/>
        <v>201237.7806</v>
      </c>
      <c r="X41" s="36">
        <f t="shared" si="10"/>
        <v>16769.81505</v>
      </c>
      <c r="Y41" s="17">
        <f t="shared" si="11"/>
        <v>31561.62064</v>
      </c>
      <c r="Z41" s="20">
        <f t="shared" si="12"/>
        <v>0.1860109319</v>
      </c>
      <c r="AA41" s="40">
        <v>0.12</v>
      </c>
      <c r="AB41" s="35">
        <f t="shared" si="13"/>
        <v>0.677826938</v>
      </c>
      <c r="AC41" s="35">
        <f t="shared" si="14"/>
        <v>171658.3164</v>
      </c>
      <c r="AD41" s="35">
        <f t="shared" si="15"/>
        <v>-23407.95224</v>
      </c>
      <c r="AE41" s="41">
        <f t="shared" si="16"/>
        <v>-0.12</v>
      </c>
      <c r="AF41" s="18">
        <f t="shared" si="17"/>
        <v>-29579.46425</v>
      </c>
      <c r="AG41" s="24">
        <f t="shared" si="18"/>
        <v>-0.1469876291</v>
      </c>
      <c r="AH41" s="31" t="s">
        <v>105</v>
      </c>
      <c r="AI41" s="31"/>
      <c r="AJ41" s="33" t="str">
        <f t="shared" si="19"/>
        <v>BD COLETA</v>
      </c>
      <c r="AK41" s="35">
        <f t="shared" si="20"/>
        <v>0.74</v>
      </c>
      <c r="AL41" s="17">
        <f t="shared" si="21"/>
        <v>187403.52</v>
      </c>
      <c r="AM41" s="17">
        <f t="shared" si="22"/>
        <v>-13834.26064</v>
      </c>
      <c r="AN41" s="20">
        <f t="shared" si="23"/>
        <v>-0.06874584185</v>
      </c>
      <c r="AO41" s="35"/>
      <c r="AP41" s="35"/>
      <c r="AQ41" s="35"/>
      <c r="AR41" s="35">
        <v>0.74</v>
      </c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18"/>
      <c r="BT41" s="18"/>
      <c r="BU41" s="25"/>
      <c r="BV41" s="25"/>
      <c r="BW41" s="25"/>
      <c r="BX41" s="25"/>
      <c r="BY41" s="25">
        <v>1.30832</v>
      </c>
      <c r="BZ41" s="25" t="s">
        <v>109</v>
      </c>
      <c r="CA41" s="25"/>
      <c r="CB41" s="26"/>
      <c r="CC41" s="26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25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25" t="str">
        <f t="shared" ref="FN41:FY41" si="99">$AD41*#REF!</f>
        <v>#REF!</v>
      </c>
      <c r="FO41" s="25" t="str">
        <f t="shared" si="99"/>
        <v>#REF!</v>
      </c>
      <c r="FP41" s="25" t="str">
        <f t="shared" si="99"/>
        <v>#REF!</v>
      </c>
      <c r="FQ41" s="25" t="str">
        <f t="shared" si="99"/>
        <v>#REF!</v>
      </c>
      <c r="FR41" s="25" t="str">
        <f t="shared" si="99"/>
        <v>#REF!</v>
      </c>
      <c r="FS41" s="25" t="str">
        <f t="shared" si="99"/>
        <v>#REF!</v>
      </c>
      <c r="FT41" s="25" t="str">
        <f t="shared" si="99"/>
        <v>#REF!</v>
      </c>
      <c r="FU41" s="25" t="str">
        <f t="shared" si="99"/>
        <v>#REF!</v>
      </c>
      <c r="FV41" s="25" t="str">
        <f t="shared" si="99"/>
        <v>#REF!</v>
      </c>
      <c r="FW41" s="25" t="str">
        <f t="shared" si="99"/>
        <v>#REF!</v>
      </c>
      <c r="FX41" s="25" t="str">
        <f t="shared" si="99"/>
        <v>#REF!</v>
      </c>
      <c r="FY41" s="25" t="str">
        <f t="shared" si="99"/>
        <v>#REF!</v>
      </c>
      <c r="FZ41" s="25" t="str">
        <f t="shared" si="25"/>
        <v>#REF!</v>
      </c>
      <c r="GA41" s="25" t="str">
        <f t="shared" si="26"/>
        <v>#REF!</v>
      </c>
      <c r="GB41" s="25" t="s">
        <v>76</v>
      </c>
      <c r="GC41" s="25">
        <f t="shared" si="27"/>
        <v>0</v>
      </c>
      <c r="GD41" s="25">
        <f t="shared" si="28"/>
        <v>0</v>
      </c>
      <c r="GE41" s="25">
        <f t="shared" si="29"/>
        <v>0</v>
      </c>
      <c r="GF41" s="25">
        <f t="shared" si="30"/>
        <v>0</v>
      </c>
      <c r="GG41" s="25">
        <f t="shared" si="31"/>
        <v>0</v>
      </c>
      <c r="GH41" s="25">
        <f t="shared" si="32"/>
        <v>-1152.855054</v>
      </c>
      <c r="GI41" s="25">
        <f t="shared" si="33"/>
        <v>-1152.855054</v>
      </c>
      <c r="GJ41" s="25">
        <f t="shared" si="34"/>
        <v>-1152.855054</v>
      </c>
      <c r="GK41" s="25">
        <f t="shared" si="35"/>
        <v>-1152.855054</v>
      </c>
      <c r="GL41" s="25">
        <f t="shared" si="36"/>
        <v>-1152.855054</v>
      </c>
      <c r="GM41" s="25">
        <f t="shared" si="37"/>
        <v>-1152.855054</v>
      </c>
      <c r="GN41" s="25">
        <f t="shared" si="38"/>
        <v>-1152.855054</v>
      </c>
      <c r="GO41" s="25">
        <f t="shared" si="39"/>
        <v>-8069.985375</v>
      </c>
      <c r="GP41" s="25">
        <f t="shared" si="40"/>
        <v>-5764.275268</v>
      </c>
      <c r="GQ41" s="27" t="str">
        <f t="shared" si="41"/>
        <v>#REF!</v>
      </c>
      <c r="GR41" s="28">
        <f t="shared" si="42"/>
        <v>-13834.26064</v>
      </c>
      <c r="GS41" s="29">
        <f t="shared" si="43"/>
        <v>-0.06874584185</v>
      </c>
      <c r="GT41" s="25" t="str">
        <f t="shared" si="44"/>
        <v>JUN</v>
      </c>
      <c r="GU41" s="25">
        <f t="shared" si="45"/>
        <v>0</v>
      </c>
      <c r="GV41" s="25">
        <f t="shared" si="46"/>
        <v>0</v>
      </c>
      <c r="GW41" s="25">
        <f t="shared" si="47"/>
        <v>0</v>
      </c>
      <c r="GX41" s="30">
        <f t="shared" si="48"/>
        <v>0</v>
      </c>
      <c r="GY41" s="30">
        <f t="shared" si="49"/>
        <v>0</v>
      </c>
      <c r="GZ41" s="30">
        <f t="shared" si="50"/>
        <v>-1152.855054</v>
      </c>
      <c r="HA41" s="30">
        <f t="shared" si="51"/>
        <v>-1152.855054</v>
      </c>
      <c r="HB41" s="30">
        <f t="shared" si="52"/>
        <v>-1152.855054</v>
      </c>
      <c r="HC41" s="30">
        <f t="shared" si="53"/>
        <v>-1152.855054</v>
      </c>
      <c r="HD41" s="30">
        <f t="shared" si="54"/>
        <v>-1152.855054</v>
      </c>
      <c r="HE41" s="30">
        <f t="shared" si="55"/>
        <v>-1152.855054</v>
      </c>
      <c r="HF41" s="30">
        <f t="shared" si="56"/>
        <v>-1152.855054</v>
      </c>
      <c r="HG41" s="30">
        <f t="shared" si="57"/>
        <v>-8069.985375</v>
      </c>
      <c r="HH41" s="30">
        <f t="shared" si="58"/>
        <v>-5764.275268</v>
      </c>
      <c r="HI41" s="27" t="str">
        <f t="shared" si="59"/>
        <v>#REF!</v>
      </c>
      <c r="HJ41" s="12"/>
      <c r="HK41" s="12">
        <v>0.0</v>
      </c>
      <c r="HL41" s="12">
        <v>0.0</v>
      </c>
      <c r="HM41" s="25" t="str">
        <f t="shared" si="60"/>
        <v>JUN</v>
      </c>
      <c r="HN41" s="12" t="str">
        <f t="shared" si="61"/>
        <v/>
      </c>
    </row>
    <row r="42" ht="13.5" customHeight="1">
      <c r="A42" s="12" t="str">
        <f t="shared" si="2"/>
        <v>212234</v>
      </c>
      <c r="B42" s="31" t="s">
        <v>0</v>
      </c>
      <c r="C42" s="32" t="s">
        <v>94</v>
      </c>
      <c r="D42" s="32" t="s">
        <v>95</v>
      </c>
      <c r="E42" s="33">
        <v>212234.0</v>
      </c>
      <c r="F42" s="31" t="s">
        <v>135</v>
      </c>
      <c r="G42" s="31" t="s">
        <v>117</v>
      </c>
      <c r="H42" s="34">
        <v>2245.0</v>
      </c>
      <c r="I42" s="31" t="s">
        <v>118</v>
      </c>
      <c r="J42" s="31" t="s">
        <v>104</v>
      </c>
      <c r="K42" s="34">
        <v>293000.0</v>
      </c>
      <c r="L42" s="17">
        <f t="shared" si="3"/>
        <v>164079.35</v>
      </c>
      <c r="M42" s="35">
        <v>0.5599977815699659</v>
      </c>
      <c r="N42" s="31">
        <v>0.58</v>
      </c>
      <c r="O42" s="17">
        <f t="shared" si="4"/>
        <v>169940</v>
      </c>
      <c r="P42" s="36" t="s">
        <v>104</v>
      </c>
      <c r="Q42" s="37">
        <v>0.6061713249835201</v>
      </c>
      <c r="R42" s="38">
        <f t="shared" si="5"/>
        <v>177608.1982</v>
      </c>
      <c r="S42" s="36">
        <f t="shared" si="6"/>
        <v>14800.68319</v>
      </c>
      <c r="T42" s="36">
        <f t="shared" si="7"/>
        <v>13528.84822</v>
      </c>
      <c r="U42" s="39">
        <f t="shared" si="8"/>
        <v>0.08245308273</v>
      </c>
      <c r="V42" s="21">
        <v>0.623169200968523</v>
      </c>
      <c r="W42" s="17">
        <f t="shared" si="9"/>
        <v>182588.5759</v>
      </c>
      <c r="X42" s="36">
        <f t="shared" si="10"/>
        <v>15215.71466</v>
      </c>
      <c r="Y42" s="17">
        <f t="shared" si="11"/>
        <v>18509.22588</v>
      </c>
      <c r="Z42" s="20">
        <f t="shared" si="12"/>
        <v>0.112806553</v>
      </c>
      <c r="AA42" s="40">
        <v>0.12</v>
      </c>
      <c r="AB42" s="35">
        <f t="shared" si="13"/>
        <v>0.533430766</v>
      </c>
      <c r="AC42" s="35">
        <f t="shared" si="14"/>
        <v>156295.2144</v>
      </c>
      <c r="AD42" s="35">
        <f t="shared" si="15"/>
        <v>-21312.98379</v>
      </c>
      <c r="AE42" s="41">
        <f t="shared" si="16"/>
        <v>-0.12</v>
      </c>
      <c r="AF42" s="18">
        <f t="shared" si="17"/>
        <v>-26293.36145</v>
      </c>
      <c r="AG42" s="24">
        <f t="shared" si="18"/>
        <v>-0.1440033218</v>
      </c>
      <c r="AH42" s="31" t="s">
        <v>105</v>
      </c>
      <c r="AI42" s="31"/>
      <c r="AJ42" s="33" t="str">
        <f t="shared" si="19"/>
        <v>BD COLETA</v>
      </c>
      <c r="AK42" s="35">
        <f t="shared" si="20"/>
        <v>0.58</v>
      </c>
      <c r="AL42" s="17">
        <f t="shared" si="21"/>
        <v>169940</v>
      </c>
      <c r="AM42" s="17">
        <f t="shared" si="22"/>
        <v>-12648.57588</v>
      </c>
      <c r="AN42" s="20">
        <f t="shared" si="23"/>
        <v>-0.06927364334</v>
      </c>
      <c r="AO42" s="35"/>
      <c r="AP42" s="35"/>
      <c r="AQ42" s="35"/>
      <c r="AR42" s="35">
        <v>0.58</v>
      </c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18"/>
      <c r="BT42" s="18"/>
      <c r="BU42" s="25"/>
      <c r="BV42" s="25"/>
      <c r="BW42" s="25"/>
      <c r="BX42" s="25"/>
      <c r="BY42" s="25"/>
      <c r="BZ42" s="25"/>
      <c r="CA42" s="25"/>
      <c r="CB42" s="26"/>
      <c r="CC42" s="26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25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25" t="str">
        <f t="shared" ref="FN42:FY42" si="100">$AD42*#REF!</f>
        <v>#REF!</v>
      </c>
      <c r="FO42" s="25" t="str">
        <f t="shared" si="100"/>
        <v>#REF!</v>
      </c>
      <c r="FP42" s="25" t="str">
        <f t="shared" si="100"/>
        <v>#REF!</v>
      </c>
      <c r="FQ42" s="25" t="str">
        <f t="shared" si="100"/>
        <v>#REF!</v>
      </c>
      <c r="FR42" s="25" t="str">
        <f t="shared" si="100"/>
        <v>#REF!</v>
      </c>
      <c r="FS42" s="25" t="str">
        <f t="shared" si="100"/>
        <v>#REF!</v>
      </c>
      <c r="FT42" s="25" t="str">
        <f t="shared" si="100"/>
        <v>#REF!</v>
      </c>
      <c r="FU42" s="25" t="str">
        <f t="shared" si="100"/>
        <v>#REF!</v>
      </c>
      <c r="FV42" s="25" t="str">
        <f t="shared" si="100"/>
        <v>#REF!</v>
      </c>
      <c r="FW42" s="25" t="str">
        <f t="shared" si="100"/>
        <v>#REF!</v>
      </c>
      <c r="FX42" s="25" t="str">
        <f t="shared" si="100"/>
        <v>#REF!</v>
      </c>
      <c r="FY42" s="25" t="str">
        <f t="shared" si="100"/>
        <v>#REF!</v>
      </c>
      <c r="FZ42" s="25" t="str">
        <f t="shared" si="25"/>
        <v>#REF!</v>
      </c>
      <c r="GA42" s="25" t="str">
        <f t="shared" si="26"/>
        <v>#REF!</v>
      </c>
      <c r="GB42" s="25" t="s">
        <v>76</v>
      </c>
      <c r="GC42" s="25">
        <f t="shared" si="27"/>
        <v>0</v>
      </c>
      <c r="GD42" s="25">
        <f t="shared" si="28"/>
        <v>0</v>
      </c>
      <c r="GE42" s="25">
        <f t="shared" si="29"/>
        <v>0</v>
      </c>
      <c r="GF42" s="25">
        <f t="shared" si="30"/>
        <v>0</v>
      </c>
      <c r="GG42" s="25">
        <f t="shared" si="31"/>
        <v>0</v>
      </c>
      <c r="GH42" s="25">
        <f t="shared" si="32"/>
        <v>-1054.04799</v>
      </c>
      <c r="GI42" s="25">
        <f t="shared" si="33"/>
        <v>-1054.04799</v>
      </c>
      <c r="GJ42" s="25">
        <f t="shared" si="34"/>
        <v>-1054.04799</v>
      </c>
      <c r="GK42" s="25">
        <f t="shared" si="35"/>
        <v>-1054.04799</v>
      </c>
      <c r="GL42" s="25">
        <f t="shared" si="36"/>
        <v>-1054.04799</v>
      </c>
      <c r="GM42" s="25">
        <f t="shared" si="37"/>
        <v>-1054.04799</v>
      </c>
      <c r="GN42" s="25">
        <f t="shared" si="38"/>
        <v>-1054.04799</v>
      </c>
      <c r="GO42" s="25">
        <f t="shared" si="39"/>
        <v>-7378.335932</v>
      </c>
      <c r="GP42" s="25">
        <f t="shared" si="40"/>
        <v>-5270.239952</v>
      </c>
      <c r="GQ42" s="27" t="str">
        <f t="shared" si="41"/>
        <v>#REF!</v>
      </c>
      <c r="GR42" s="28">
        <f t="shared" si="42"/>
        <v>-12648.57588</v>
      </c>
      <c r="GS42" s="29">
        <f t="shared" si="43"/>
        <v>-0.06927364334</v>
      </c>
      <c r="GT42" s="25" t="str">
        <f t="shared" si="44"/>
        <v>JUN</v>
      </c>
      <c r="GU42" s="25">
        <f t="shared" si="45"/>
        <v>0</v>
      </c>
      <c r="GV42" s="25">
        <f t="shared" si="46"/>
        <v>0</v>
      </c>
      <c r="GW42" s="25">
        <f t="shared" si="47"/>
        <v>0</v>
      </c>
      <c r="GX42" s="30">
        <f t="shared" si="48"/>
        <v>0</v>
      </c>
      <c r="GY42" s="30">
        <f t="shared" si="49"/>
        <v>0</v>
      </c>
      <c r="GZ42" s="30">
        <f t="shared" si="50"/>
        <v>-1054.04799</v>
      </c>
      <c r="HA42" s="30">
        <f t="shared" si="51"/>
        <v>-1054.04799</v>
      </c>
      <c r="HB42" s="30">
        <f t="shared" si="52"/>
        <v>-1054.04799</v>
      </c>
      <c r="HC42" s="30">
        <f t="shared" si="53"/>
        <v>-1054.04799</v>
      </c>
      <c r="HD42" s="30">
        <f t="shared" si="54"/>
        <v>-1054.04799</v>
      </c>
      <c r="HE42" s="30">
        <f t="shared" si="55"/>
        <v>-1054.04799</v>
      </c>
      <c r="HF42" s="30">
        <f t="shared" si="56"/>
        <v>-1054.04799</v>
      </c>
      <c r="HG42" s="30">
        <f t="shared" si="57"/>
        <v>-7378.335932</v>
      </c>
      <c r="HH42" s="30">
        <f t="shared" si="58"/>
        <v>-5270.239952</v>
      </c>
      <c r="HI42" s="27" t="str">
        <f t="shared" si="59"/>
        <v>#REF!</v>
      </c>
      <c r="HJ42" s="12"/>
      <c r="HK42" s="12">
        <v>0.0</v>
      </c>
      <c r="HL42" s="12">
        <v>0.0</v>
      </c>
      <c r="HM42" s="25" t="str">
        <f t="shared" si="60"/>
        <v>JUN</v>
      </c>
      <c r="HN42" s="12" t="str">
        <f t="shared" si="61"/>
        <v/>
      </c>
    </row>
    <row r="43" ht="13.5" customHeight="1">
      <c r="A43" s="12" t="str">
        <f t="shared" si="2"/>
        <v>198361</v>
      </c>
      <c r="B43" s="31" t="s">
        <v>0</v>
      </c>
      <c r="C43" s="32" t="s">
        <v>94</v>
      </c>
      <c r="D43" s="32" t="s">
        <v>95</v>
      </c>
      <c r="E43" s="33">
        <v>198361.0</v>
      </c>
      <c r="F43" s="31" t="s">
        <v>140</v>
      </c>
      <c r="G43" s="31" t="s">
        <v>112</v>
      </c>
      <c r="H43" s="34">
        <v>2045.0</v>
      </c>
      <c r="I43" s="31" t="s">
        <v>113</v>
      </c>
      <c r="J43" s="31" t="s">
        <v>103</v>
      </c>
      <c r="K43" s="34">
        <v>431500.0</v>
      </c>
      <c r="L43" s="17">
        <f t="shared" si="3"/>
        <v>159655</v>
      </c>
      <c r="M43" s="35">
        <v>0.37</v>
      </c>
      <c r="N43" s="31">
        <v>0.37</v>
      </c>
      <c r="O43" s="17">
        <f t="shared" si="4"/>
        <v>159655</v>
      </c>
      <c r="P43" s="36" t="s">
        <v>104</v>
      </c>
      <c r="Q43" s="37">
        <v>0.42289342904472665</v>
      </c>
      <c r="R43" s="36">
        <f t="shared" si="5"/>
        <v>182478.5146</v>
      </c>
      <c r="S43" s="36">
        <f t="shared" si="6"/>
        <v>15206.54289</v>
      </c>
      <c r="T43" s="36">
        <f t="shared" si="7"/>
        <v>22823.51463</v>
      </c>
      <c r="U43" s="39">
        <f t="shared" si="8"/>
        <v>0.1429552136</v>
      </c>
      <c r="V43" s="21">
        <v>0.4511722191880575</v>
      </c>
      <c r="W43" s="17">
        <f t="shared" si="9"/>
        <v>194680.8126</v>
      </c>
      <c r="X43" s="36">
        <f t="shared" si="10"/>
        <v>16223.40105</v>
      </c>
      <c r="Y43" s="17">
        <f t="shared" si="11"/>
        <v>35025.81258</v>
      </c>
      <c r="Z43" s="20">
        <f t="shared" si="12"/>
        <v>0.2193843762</v>
      </c>
      <c r="AA43" s="40">
        <v>0.12</v>
      </c>
      <c r="AB43" s="35">
        <f t="shared" si="13"/>
        <v>0.3721462176</v>
      </c>
      <c r="AC43" s="35">
        <f t="shared" si="14"/>
        <v>160581.0929</v>
      </c>
      <c r="AD43" s="35">
        <f t="shared" si="15"/>
        <v>-21897.42176</v>
      </c>
      <c r="AE43" s="41">
        <f t="shared" si="16"/>
        <v>-0.12</v>
      </c>
      <c r="AF43" s="18">
        <f t="shared" si="17"/>
        <v>-34099.7197</v>
      </c>
      <c r="AG43" s="24">
        <f t="shared" si="18"/>
        <v>-0.1751570648</v>
      </c>
      <c r="AH43" s="31" t="s">
        <v>105</v>
      </c>
      <c r="AI43" s="31"/>
      <c r="AJ43" s="33" t="str">
        <f t="shared" si="19"/>
        <v>BD COLETA</v>
      </c>
      <c r="AK43" s="35">
        <f t="shared" si="20"/>
        <v>0.37</v>
      </c>
      <c r="AL43" s="17">
        <f t="shared" si="21"/>
        <v>159655</v>
      </c>
      <c r="AM43" s="17">
        <f t="shared" si="22"/>
        <v>-35025.81258</v>
      </c>
      <c r="AN43" s="20">
        <f t="shared" si="23"/>
        <v>-0.1799140455</v>
      </c>
      <c r="AO43" s="35"/>
      <c r="AP43" s="35"/>
      <c r="AQ43" s="35"/>
      <c r="AR43" s="35">
        <v>0.37</v>
      </c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>
        <v>0.385</v>
      </c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18"/>
      <c r="BT43" s="18"/>
      <c r="BU43" s="25">
        <v>0.469</v>
      </c>
      <c r="BV43" s="25"/>
      <c r="BW43" s="25"/>
      <c r="BX43" s="25"/>
      <c r="BY43" s="25">
        <v>1.02425</v>
      </c>
      <c r="BZ43" s="25" t="s">
        <v>119</v>
      </c>
      <c r="CA43" s="25"/>
      <c r="CB43" s="26"/>
      <c r="CC43" s="26"/>
      <c r="CD43" s="12"/>
      <c r="CE43" s="12"/>
      <c r="CF43" s="12"/>
      <c r="CG43" s="12"/>
      <c r="CH43" s="12"/>
      <c r="CI43" s="12">
        <v>0.5006</v>
      </c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25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25" t="str">
        <f t="shared" ref="FN43:FY43" si="101">$AD43*#REF!</f>
        <v>#REF!</v>
      </c>
      <c r="FO43" s="25" t="str">
        <f t="shared" si="101"/>
        <v>#REF!</v>
      </c>
      <c r="FP43" s="25" t="str">
        <f t="shared" si="101"/>
        <v>#REF!</v>
      </c>
      <c r="FQ43" s="25" t="str">
        <f t="shared" si="101"/>
        <v>#REF!</v>
      </c>
      <c r="FR43" s="25" t="str">
        <f t="shared" si="101"/>
        <v>#REF!</v>
      </c>
      <c r="FS43" s="25" t="str">
        <f t="shared" si="101"/>
        <v>#REF!</v>
      </c>
      <c r="FT43" s="25" t="str">
        <f t="shared" si="101"/>
        <v>#REF!</v>
      </c>
      <c r="FU43" s="25" t="str">
        <f t="shared" si="101"/>
        <v>#REF!</v>
      </c>
      <c r="FV43" s="25" t="str">
        <f t="shared" si="101"/>
        <v>#REF!</v>
      </c>
      <c r="FW43" s="25" t="str">
        <f t="shared" si="101"/>
        <v>#REF!</v>
      </c>
      <c r="FX43" s="25" t="str">
        <f t="shared" si="101"/>
        <v>#REF!</v>
      </c>
      <c r="FY43" s="25" t="str">
        <f t="shared" si="101"/>
        <v>#REF!</v>
      </c>
      <c r="FZ43" s="25" t="str">
        <f t="shared" si="25"/>
        <v>#REF!</v>
      </c>
      <c r="GA43" s="25" t="str">
        <f t="shared" si="26"/>
        <v>#REF!</v>
      </c>
      <c r="GB43" s="25" t="s">
        <v>76</v>
      </c>
      <c r="GC43" s="25">
        <f t="shared" si="27"/>
        <v>0</v>
      </c>
      <c r="GD43" s="25">
        <f t="shared" si="28"/>
        <v>0</v>
      </c>
      <c r="GE43" s="25">
        <f t="shared" si="29"/>
        <v>0</v>
      </c>
      <c r="GF43" s="25">
        <f t="shared" si="30"/>
        <v>0</v>
      </c>
      <c r="GG43" s="25">
        <f t="shared" si="31"/>
        <v>0</v>
      </c>
      <c r="GH43" s="25">
        <f t="shared" si="32"/>
        <v>-2918.817715</v>
      </c>
      <c r="GI43" s="25">
        <f t="shared" si="33"/>
        <v>-2918.817715</v>
      </c>
      <c r="GJ43" s="25">
        <f t="shared" si="34"/>
        <v>-2918.817715</v>
      </c>
      <c r="GK43" s="25">
        <f t="shared" si="35"/>
        <v>-2918.817715</v>
      </c>
      <c r="GL43" s="25">
        <f t="shared" si="36"/>
        <v>-2918.817715</v>
      </c>
      <c r="GM43" s="25">
        <f t="shared" si="37"/>
        <v>-2918.817715</v>
      </c>
      <c r="GN43" s="25">
        <f t="shared" si="38"/>
        <v>-2918.817715</v>
      </c>
      <c r="GO43" s="25">
        <f t="shared" si="39"/>
        <v>-20431.724</v>
      </c>
      <c r="GP43" s="25">
        <f t="shared" si="40"/>
        <v>-14594.08857</v>
      </c>
      <c r="GQ43" s="27" t="str">
        <f t="shared" si="41"/>
        <v>#REF!</v>
      </c>
      <c r="GR43" s="28">
        <f t="shared" si="42"/>
        <v>-35025.81258</v>
      </c>
      <c r="GS43" s="29">
        <f t="shared" si="43"/>
        <v>-0.1799140455</v>
      </c>
      <c r="GT43" s="25" t="str">
        <f t="shared" si="44"/>
        <v>JUN</v>
      </c>
      <c r="GU43" s="25">
        <f t="shared" si="45"/>
        <v>0</v>
      </c>
      <c r="GV43" s="25">
        <f t="shared" si="46"/>
        <v>0</v>
      </c>
      <c r="GW43" s="25">
        <f t="shared" si="47"/>
        <v>0</v>
      </c>
      <c r="GX43" s="30">
        <f t="shared" si="48"/>
        <v>0</v>
      </c>
      <c r="GY43" s="30">
        <f t="shared" si="49"/>
        <v>0</v>
      </c>
      <c r="GZ43" s="30">
        <f t="shared" si="50"/>
        <v>-2918.817715</v>
      </c>
      <c r="HA43" s="30">
        <f t="shared" si="51"/>
        <v>-2918.817715</v>
      </c>
      <c r="HB43" s="30">
        <f t="shared" si="52"/>
        <v>-2918.817715</v>
      </c>
      <c r="HC43" s="30">
        <f t="shared" si="53"/>
        <v>-2918.817715</v>
      </c>
      <c r="HD43" s="30">
        <f t="shared" si="54"/>
        <v>-2918.817715</v>
      </c>
      <c r="HE43" s="30">
        <f t="shared" si="55"/>
        <v>-2918.817715</v>
      </c>
      <c r="HF43" s="30">
        <f t="shared" si="56"/>
        <v>-2918.817715</v>
      </c>
      <c r="HG43" s="30">
        <f t="shared" si="57"/>
        <v>-20431.724</v>
      </c>
      <c r="HH43" s="30">
        <f t="shared" si="58"/>
        <v>-14594.08857</v>
      </c>
      <c r="HI43" s="27" t="str">
        <f t="shared" si="59"/>
        <v>#REF!</v>
      </c>
      <c r="HJ43" s="12"/>
      <c r="HK43" s="12">
        <v>1.0</v>
      </c>
      <c r="HL43" s="12">
        <v>1.0</v>
      </c>
      <c r="HM43" s="25" t="str">
        <f t="shared" si="60"/>
        <v>JUN</v>
      </c>
      <c r="HN43" s="12" t="str">
        <f t="shared" si="61"/>
        <v/>
      </c>
    </row>
    <row r="44" ht="13.5" customHeight="1">
      <c r="A44" s="12" t="str">
        <f t="shared" si="2"/>
        <v>197223</v>
      </c>
      <c r="B44" s="31" t="s">
        <v>0</v>
      </c>
      <c r="C44" s="32" t="s">
        <v>94</v>
      </c>
      <c r="D44" s="32" t="s">
        <v>110</v>
      </c>
      <c r="E44" s="33">
        <v>197223.0</v>
      </c>
      <c r="F44" s="31" t="s">
        <v>116</v>
      </c>
      <c r="G44" s="31" t="s">
        <v>117</v>
      </c>
      <c r="H44" s="34">
        <v>2245.0</v>
      </c>
      <c r="I44" s="31" t="s">
        <v>118</v>
      </c>
      <c r="J44" s="31" t="s">
        <v>132</v>
      </c>
      <c r="K44" s="34">
        <v>53000.0</v>
      </c>
      <c r="L44" s="17">
        <f t="shared" si="3"/>
        <v>157940</v>
      </c>
      <c r="M44" s="35">
        <v>2.98</v>
      </c>
      <c r="N44" s="31">
        <v>3.57</v>
      </c>
      <c r="O44" s="17">
        <f t="shared" si="4"/>
        <v>189210</v>
      </c>
      <c r="P44" s="36" t="s">
        <v>104</v>
      </c>
      <c r="Q44" s="37">
        <v>4.0070957514267596</v>
      </c>
      <c r="R44" s="38">
        <f t="shared" si="5"/>
        <v>212376.0748</v>
      </c>
      <c r="S44" s="36">
        <f t="shared" si="6"/>
        <v>17698.00624</v>
      </c>
      <c r="T44" s="36">
        <f t="shared" si="7"/>
        <v>54436.07483</v>
      </c>
      <c r="U44" s="39">
        <f t="shared" si="8"/>
        <v>0.3446630038</v>
      </c>
      <c r="V44" s="21">
        <v>4.091477108518662</v>
      </c>
      <c r="W44" s="17">
        <f t="shared" si="9"/>
        <v>216848.2868</v>
      </c>
      <c r="X44" s="36">
        <f t="shared" si="10"/>
        <v>18070.69056</v>
      </c>
      <c r="Y44" s="17">
        <f t="shared" si="11"/>
        <v>58908.28675</v>
      </c>
      <c r="Z44" s="20">
        <f t="shared" si="12"/>
        <v>0.3729788955</v>
      </c>
      <c r="AA44" s="40">
        <v>0.12</v>
      </c>
      <c r="AB44" s="35">
        <f t="shared" si="13"/>
        <v>3.526244261</v>
      </c>
      <c r="AC44" s="35">
        <f t="shared" si="14"/>
        <v>186890.9458</v>
      </c>
      <c r="AD44" s="35">
        <f t="shared" si="15"/>
        <v>-25485.12898</v>
      </c>
      <c r="AE44" s="41">
        <f t="shared" si="16"/>
        <v>-0.12</v>
      </c>
      <c r="AF44" s="18">
        <f t="shared" si="17"/>
        <v>-29957.3409</v>
      </c>
      <c r="AG44" s="24">
        <f t="shared" si="18"/>
        <v>-0.1381488475</v>
      </c>
      <c r="AH44" s="31" t="s">
        <v>105</v>
      </c>
      <c r="AI44" s="31"/>
      <c r="AJ44" s="33" t="str">
        <f t="shared" si="19"/>
        <v>BD COLETA</v>
      </c>
      <c r="AK44" s="35">
        <f t="shared" si="20"/>
        <v>3.39</v>
      </c>
      <c r="AL44" s="17">
        <f t="shared" si="21"/>
        <v>179670</v>
      </c>
      <c r="AM44" s="17">
        <f t="shared" si="22"/>
        <v>-37178.28675</v>
      </c>
      <c r="AN44" s="20">
        <f t="shared" si="23"/>
        <v>-0.1714483767</v>
      </c>
      <c r="AO44" s="35"/>
      <c r="AP44" s="35"/>
      <c r="AQ44" s="35"/>
      <c r="AR44" s="35">
        <v>3.39</v>
      </c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>
        <v>3.68</v>
      </c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18"/>
      <c r="BT44" s="18"/>
      <c r="BU44" s="25"/>
      <c r="BV44" s="25"/>
      <c r="BW44" s="25"/>
      <c r="BX44" s="25"/>
      <c r="BY44" s="25">
        <v>10.54</v>
      </c>
      <c r="BZ44" s="25" t="s">
        <v>119</v>
      </c>
      <c r="CA44" s="25"/>
      <c r="CB44" s="26"/>
      <c r="CC44" s="26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25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25" t="str">
        <f t="shared" ref="FN44:FY44" si="102">$AD44*#REF!</f>
        <v>#REF!</v>
      </c>
      <c r="FO44" s="25" t="str">
        <f t="shared" si="102"/>
        <v>#REF!</v>
      </c>
      <c r="FP44" s="25" t="str">
        <f t="shared" si="102"/>
        <v>#REF!</v>
      </c>
      <c r="FQ44" s="25" t="str">
        <f t="shared" si="102"/>
        <v>#REF!</v>
      </c>
      <c r="FR44" s="25" t="str">
        <f t="shared" si="102"/>
        <v>#REF!</v>
      </c>
      <c r="FS44" s="25" t="str">
        <f t="shared" si="102"/>
        <v>#REF!</v>
      </c>
      <c r="FT44" s="25" t="str">
        <f t="shared" si="102"/>
        <v>#REF!</v>
      </c>
      <c r="FU44" s="25" t="str">
        <f t="shared" si="102"/>
        <v>#REF!</v>
      </c>
      <c r="FV44" s="25" t="str">
        <f t="shared" si="102"/>
        <v>#REF!</v>
      </c>
      <c r="FW44" s="25" t="str">
        <f t="shared" si="102"/>
        <v>#REF!</v>
      </c>
      <c r="FX44" s="25" t="str">
        <f t="shared" si="102"/>
        <v>#REF!</v>
      </c>
      <c r="FY44" s="25" t="str">
        <f t="shared" si="102"/>
        <v>#REF!</v>
      </c>
      <c r="FZ44" s="25" t="str">
        <f t="shared" si="25"/>
        <v>#REF!</v>
      </c>
      <c r="GA44" s="25" t="str">
        <f t="shared" si="26"/>
        <v>#REF!</v>
      </c>
      <c r="GB44" s="25" t="s">
        <v>76</v>
      </c>
      <c r="GC44" s="25">
        <f t="shared" si="27"/>
        <v>0</v>
      </c>
      <c r="GD44" s="25">
        <f t="shared" si="28"/>
        <v>0</v>
      </c>
      <c r="GE44" s="25">
        <f t="shared" si="29"/>
        <v>0</v>
      </c>
      <c r="GF44" s="25">
        <f t="shared" si="30"/>
        <v>0</v>
      </c>
      <c r="GG44" s="25">
        <f t="shared" si="31"/>
        <v>0</v>
      </c>
      <c r="GH44" s="25">
        <f t="shared" si="32"/>
        <v>-3098.190563</v>
      </c>
      <c r="GI44" s="25">
        <f t="shared" si="33"/>
        <v>-3098.190563</v>
      </c>
      <c r="GJ44" s="25">
        <f t="shared" si="34"/>
        <v>-3098.190563</v>
      </c>
      <c r="GK44" s="25">
        <f t="shared" si="35"/>
        <v>-3098.190563</v>
      </c>
      <c r="GL44" s="25">
        <f t="shared" si="36"/>
        <v>-3098.190563</v>
      </c>
      <c r="GM44" s="25">
        <f t="shared" si="37"/>
        <v>-3098.190563</v>
      </c>
      <c r="GN44" s="25">
        <f t="shared" si="38"/>
        <v>-3098.190563</v>
      </c>
      <c r="GO44" s="25">
        <f t="shared" si="39"/>
        <v>-21687.33394</v>
      </c>
      <c r="GP44" s="25">
        <f t="shared" si="40"/>
        <v>-15490.95281</v>
      </c>
      <c r="GQ44" s="27" t="str">
        <f t="shared" si="41"/>
        <v>#REF!</v>
      </c>
      <c r="GR44" s="28">
        <f t="shared" si="42"/>
        <v>-37178.28675</v>
      </c>
      <c r="GS44" s="29">
        <f t="shared" si="43"/>
        <v>-0.1714483767</v>
      </c>
      <c r="GT44" s="25" t="str">
        <f t="shared" si="44"/>
        <v>JUN</v>
      </c>
      <c r="GU44" s="25">
        <f t="shared" si="45"/>
        <v>0</v>
      </c>
      <c r="GV44" s="25">
        <f t="shared" si="46"/>
        <v>0</v>
      </c>
      <c r="GW44" s="25">
        <f t="shared" si="47"/>
        <v>0</v>
      </c>
      <c r="GX44" s="30">
        <f t="shared" si="48"/>
        <v>0</v>
      </c>
      <c r="GY44" s="30">
        <f t="shared" si="49"/>
        <v>0</v>
      </c>
      <c r="GZ44" s="30">
        <f t="shared" si="50"/>
        <v>-3098.190563</v>
      </c>
      <c r="HA44" s="30">
        <f t="shared" si="51"/>
        <v>-3098.190563</v>
      </c>
      <c r="HB44" s="30">
        <f t="shared" si="52"/>
        <v>-3098.190563</v>
      </c>
      <c r="HC44" s="30">
        <f t="shared" si="53"/>
        <v>-3098.190563</v>
      </c>
      <c r="HD44" s="30">
        <f t="shared" si="54"/>
        <v>-3098.190563</v>
      </c>
      <c r="HE44" s="30">
        <f t="shared" si="55"/>
        <v>-3098.190563</v>
      </c>
      <c r="HF44" s="30">
        <f t="shared" si="56"/>
        <v>-3098.190563</v>
      </c>
      <c r="HG44" s="30">
        <f t="shared" si="57"/>
        <v>-21687.33394</v>
      </c>
      <c r="HH44" s="30">
        <f t="shared" si="58"/>
        <v>-15490.95281</v>
      </c>
      <c r="HI44" s="27" t="str">
        <f t="shared" si="59"/>
        <v>#REF!</v>
      </c>
      <c r="HJ44" s="12"/>
      <c r="HK44" s="12">
        <v>0.0</v>
      </c>
      <c r="HL44" s="12">
        <v>0.0</v>
      </c>
      <c r="HM44" s="25" t="str">
        <f t="shared" si="60"/>
        <v>JUN</v>
      </c>
      <c r="HN44" s="12" t="str">
        <f t="shared" si="61"/>
        <v/>
      </c>
    </row>
    <row r="45" ht="13.5" customHeight="1">
      <c r="A45" s="12" t="str">
        <f t="shared" si="2"/>
        <v>171430</v>
      </c>
      <c r="B45" s="31" t="s">
        <v>0</v>
      </c>
      <c r="C45" s="32" t="s">
        <v>94</v>
      </c>
      <c r="D45" s="32" t="s">
        <v>110</v>
      </c>
      <c r="E45" s="33">
        <v>171430.0</v>
      </c>
      <c r="F45" s="31" t="s">
        <v>111</v>
      </c>
      <c r="G45" s="31" t="s">
        <v>137</v>
      </c>
      <c r="H45" s="34">
        <v>9245.0</v>
      </c>
      <c r="I45" s="31" t="s">
        <v>141</v>
      </c>
      <c r="J45" s="31" t="s">
        <v>104</v>
      </c>
      <c r="K45" s="34">
        <v>57000.0</v>
      </c>
      <c r="L45" s="17">
        <f t="shared" si="3"/>
        <v>157320</v>
      </c>
      <c r="M45" s="35">
        <v>2.76</v>
      </c>
      <c r="N45" s="31">
        <v>2.3</v>
      </c>
      <c r="O45" s="17">
        <f t="shared" si="4"/>
        <v>131100</v>
      </c>
      <c r="P45" s="36" t="s">
        <v>104</v>
      </c>
      <c r="Q45" s="37">
        <v>2.863049189491336</v>
      </c>
      <c r="R45" s="38">
        <f t="shared" si="5"/>
        <v>163193.8038</v>
      </c>
      <c r="S45" s="36">
        <f t="shared" si="6"/>
        <v>13599.48365</v>
      </c>
      <c r="T45" s="36">
        <f t="shared" si="7"/>
        <v>5873.803801</v>
      </c>
      <c r="U45" s="39">
        <f t="shared" si="8"/>
        <v>0.03733666286</v>
      </c>
      <c r="V45" s="21">
        <v>2.863337992253067</v>
      </c>
      <c r="W45" s="17">
        <f t="shared" si="9"/>
        <v>163210.2656</v>
      </c>
      <c r="X45" s="36">
        <f t="shared" si="10"/>
        <v>13600.85546</v>
      </c>
      <c r="Y45" s="17">
        <f t="shared" si="11"/>
        <v>5890.265558</v>
      </c>
      <c r="Z45" s="20">
        <f t="shared" si="12"/>
        <v>0.03744130154</v>
      </c>
      <c r="AA45" s="40">
        <v>0.12</v>
      </c>
      <c r="AB45" s="35">
        <f t="shared" si="13"/>
        <v>2.519483287</v>
      </c>
      <c r="AC45" s="35">
        <f t="shared" si="14"/>
        <v>143610.5473</v>
      </c>
      <c r="AD45" s="35">
        <f t="shared" si="15"/>
        <v>-19583.25646</v>
      </c>
      <c r="AE45" s="41">
        <f t="shared" si="16"/>
        <v>-0.12</v>
      </c>
      <c r="AF45" s="18">
        <f t="shared" si="17"/>
        <v>-19599.71821</v>
      </c>
      <c r="AG45" s="24">
        <f t="shared" si="18"/>
        <v>-0.1200887588</v>
      </c>
      <c r="AH45" s="31" t="s">
        <v>105</v>
      </c>
      <c r="AI45" s="31"/>
      <c r="AJ45" s="33" t="str">
        <f t="shared" si="19"/>
        <v>BD COLETA</v>
      </c>
      <c r="AK45" s="35">
        <f t="shared" si="20"/>
        <v>2.12</v>
      </c>
      <c r="AL45" s="17">
        <f t="shared" si="21"/>
        <v>120840</v>
      </c>
      <c r="AM45" s="17">
        <f t="shared" si="22"/>
        <v>-42370.26556</v>
      </c>
      <c r="AN45" s="20">
        <f t="shared" si="23"/>
        <v>-0.2596053956</v>
      </c>
      <c r="AO45" s="35"/>
      <c r="AP45" s="35"/>
      <c r="AQ45" s="35"/>
      <c r="AR45" s="35">
        <v>2.12</v>
      </c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18"/>
      <c r="BT45" s="18"/>
      <c r="BU45" s="25"/>
      <c r="BV45" s="25"/>
      <c r="BW45" s="25"/>
      <c r="BX45" s="25"/>
      <c r="BY45" s="25"/>
      <c r="BZ45" s="25"/>
      <c r="CA45" s="25"/>
      <c r="CB45" s="26"/>
      <c r="CC45" s="26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25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25" t="str">
        <f t="shared" ref="FN45:FY45" si="103">$AD45*#REF!</f>
        <v>#REF!</v>
      </c>
      <c r="FO45" s="25" t="str">
        <f t="shared" si="103"/>
        <v>#REF!</v>
      </c>
      <c r="FP45" s="25" t="str">
        <f t="shared" si="103"/>
        <v>#REF!</v>
      </c>
      <c r="FQ45" s="25" t="str">
        <f t="shared" si="103"/>
        <v>#REF!</v>
      </c>
      <c r="FR45" s="25" t="str">
        <f t="shared" si="103"/>
        <v>#REF!</v>
      </c>
      <c r="FS45" s="25" t="str">
        <f t="shared" si="103"/>
        <v>#REF!</v>
      </c>
      <c r="FT45" s="25" t="str">
        <f t="shared" si="103"/>
        <v>#REF!</v>
      </c>
      <c r="FU45" s="25" t="str">
        <f t="shared" si="103"/>
        <v>#REF!</v>
      </c>
      <c r="FV45" s="25" t="str">
        <f t="shared" si="103"/>
        <v>#REF!</v>
      </c>
      <c r="FW45" s="25" t="str">
        <f t="shared" si="103"/>
        <v>#REF!</v>
      </c>
      <c r="FX45" s="25" t="str">
        <f t="shared" si="103"/>
        <v>#REF!</v>
      </c>
      <c r="FY45" s="25" t="str">
        <f t="shared" si="103"/>
        <v>#REF!</v>
      </c>
      <c r="FZ45" s="25" t="str">
        <f t="shared" si="25"/>
        <v>#REF!</v>
      </c>
      <c r="GA45" s="25" t="str">
        <f t="shared" si="26"/>
        <v>#REF!</v>
      </c>
      <c r="GB45" s="25" t="s">
        <v>76</v>
      </c>
      <c r="GC45" s="25">
        <f t="shared" si="27"/>
        <v>0</v>
      </c>
      <c r="GD45" s="25">
        <f t="shared" si="28"/>
        <v>0</v>
      </c>
      <c r="GE45" s="25">
        <f t="shared" si="29"/>
        <v>0</v>
      </c>
      <c r="GF45" s="25">
        <f t="shared" si="30"/>
        <v>0</v>
      </c>
      <c r="GG45" s="25">
        <f t="shared" si="31"/>
        <v>0</v>
      </c>
      <c r="GH45" s="25">
        <f t="shared" si="32"/>
        <v>-3530.855463</v>
      </c>
      <c r="GI45" s="25">
        <f t="shared" si="33"/>
        <v>-3530.855463</v>
      </c>
      <c r="GJ45" s="25">
        <f t="shared" si="34"/>
        <v>-3530.855463</v>
      </c>
      <c r="GK45" s="25">
        <f t="shared" si="35"/>
        <v>-3530.855463</v>
      </c>
      <c r="GL45" s="25">
        <f t="shared" si="36"/>
        <v>-3530.855463</v>
      </c>
      <c r="GM45" s="25">
        <f t="shared" si="37"/>
        <v>-3530.855463</v>
      </c>
      <c r="GN45" s="25">
        <f t="shared" si="38"/>
        <v>-3530.855463</v>
      </c>
      <c r="GO45" s="25">
        <f t="shared" si="39"/>
        <v>-24715.98824</v>
      </c>
      <c r="GP45" s="25">
        <f t="shared" si="40"/>
        <v>-17654.27732</v>
      </c>
      <c r="GQ45" s="27" t="str">
        <f t="shared" si="41"/>
        <v>#REF!</v>
      </c>
      <c r="GR45" s="28">
        <f t="shared" si="42"/>
        <v>-42370.26556</v>
      </c>
      <c r="GS45" s="29">
        <f t="shared" si="43"/>
        <v>-0.2596053956</v>
      </c>
      <c r="GT45" s="25" t="str">
        <f t="shared" si="44"/>
        <v>JUN</v>
      </c>
      <c r="GU45" s="25">
        <f t="shared" si="45"/>
        <v>0</v>
      </c>
      <c r="GV45" s="25">
        <f t="shared" si="46"/>
        <v>0</v>
      </c>
      <c r="GW45" s="25">
        <f t="shared" si="47"/>
        <v>0</v>
      </c>
      <c r="GX45" s="30">
        <f t="shared" si="48"/>
        <v>0</v>
      </c>
      <c r="GY45" s="30">
        <f t="shared" si="49"/>
        <v>0</v>
      </c>
      <c r="GZ45" s="30">
        <f t="shared" si="50"/>
        <v>-3530.855463</v>
      </c>
      <c r="HA45" s="30">
        <f t="shared" si="51"/>
        <v>-3530.855463</v>
      </c>
      <c r="HB45" s="30">
        <f t="shared" si="52"/>
        <v>-3530.855463</v>
      </c>
      <c r="HC45" s="30">
        <f t="shared" si="53"/>
        <v>-3530.855463</v>
      </c>
      <c r="HD45" s="30">
        <f t="shared" si="54"/>
        <v>-3530.855463</v>
      </c>
      <c r="HE45" s="30">
        <f t="shared" si="55"/>
        <v>-3530.855463</v>
      </c>
      <c r="HF45" s="30">
        <f t="shared" si="56"/>
        <v>-3530.855463</v>
      </c>
      <c r="HG45" s="30">
        <f t="shared" si="57"/>
        <v>-24715.98824</v>
      </c>
      <c r="HH45" s="30">
        <f t="shared" si="58"/>
        <v>-17654.27732</v>
      </c>
      <c r="HI45" s="27" t="str">
        <f t="shared" si="59"/>
        <v>#REF!</v>
      </c>
      <c r="HJ45" s="12"/>
      <c r="HK45" s="12">
        <v>0.0</v>
      </c>
      <c r="HL45" s="12">
        <v>0.0</v>
      </c>
      <c r="HM45" s="25" t="str">
        <f t="shared" si="60"/>
        <v>JUN</v>
      </c>
      <c r="HN45" s="12" t="str">
        <f t="shared" si="61"/>
        <v/>
      </c>
    </row>
    <row r="46" ht="13.5" customHeight="1">
      <c r="A46" s="12" t="str">
        <f t="shared" si="2"/>
        <v>213624</v>
      </c>
      <c r="B46" s="31" t="s">
        <v>0</v>
      </c>
      <c r="C46" s="32" t="s">
        <v>94</v>
      </c>
      <c r="D46" s="32" t="s">
        <v>101</v>
      </c>
      <c r="E46" s="33">
        <v>213624.0</v>
      </c>
      <c r="F46" s="31" t="s">
        <v>128</v>
      </c>
      <c r="G46" s="31" t="s">
        <v>97</v>
      </c>
      <c r="H46" s="34">
        <v>3069.0</v>
      </c>
      <c r="I46" s="31" t="s">
        <v>98</v>
      </c>
      <c r="J46" s="31" t="s">
        <v>129</v>
      </c>
      <c r="K46" s="34">
        <v>78000.0</v>
      </c>
      <c r="L46" s="17">
        <f t="shared" si="3"/>
        <v>152131.2</v>
      </c>
      <c r="M46" s="35">
        <v>1.9504000000000001</v>
      </c>
      <c r="N46" s="31">
        <v>195.04</v>
      </c>
      <c r="O46" s="17">
        <f t="shared" si="4"/>
        <v>15213120</v>
      </c>
      <c r="P46" s="36" t="s">
        <v>129</v>
      </c>
      <c r="Q46" s="37">
        <v>1.9595321387723985</v>
      </c>
      <c r="R46" s="38">
        <f t="shared" si="5"/>
        <v>152843.5068</v>
      </c>
      <c r="S46" s="36">
        <f t="shared" si="6"/>
        <v>12736.9589</v>
      </c>
      <c r="T46" s="36">
        <f t="shared" si="7"/>
        <v>712.3068242</v>
      </c>
      <c r="U46" s="39">
        <f t="shared" si="8"/>
        <v>0.00468218764</v>
      </c>
      <c r="V46" s="21">
        <v>1.9506406754709864</v>
      </c>
      <c r="W46" s="17">
        <f t="shared" si="9"/>
        <v>152149.9727</v>
      </c>
      <c r="X46" s="36">
        <f t="shared" si="10"/>
        <v>12679.16439</v>
      </c>
      <c r="Y46" s="17">
        <f t="shared" si="11"/>
        <v>18.77268674</v>
      </c>
      <c r="Z46" s="20">
        <f t="shared" si="12"/>
        <v>0.000123398006</v>
      </c>
      <c r="AA46" s="40">
        <v>0.12</v>
      </c>
      <c r="AB46" s="35">
        <f t="shared" si="13"/>
        <v>1.724388282</v>
      </c>
      <c r="AC46" s="35">
        <f t="shared" si="14"/>
        <v>134502.286</v>
      </c>
      <c r="AD46" s="35">
        <f t="shared" si="15"/>
        <v>-18341.22082</v>
      </c>
      <c r="AE46" s="41">
        <f t="shared" si="16"/>
        <v>-0.12</v>
      </c>
      <c r="AF46" s="18">
        <f t="shared" si="17"/>
        <v>-17647.68668</v>
      </c>
      <c r="AG46" s="24">
        <f t="shared" si="18"/>
        <v>-0.1159887601</v>
      </c>
      <c r="AH46" s="31" t="s">
        <v>105</v>
      </c>
      <c r="AI46" s="31"/>
      <c r="AJ46" s="33" t="str">
        <f t="shared" si="19"/>
        <v>SARSTEDT</v>
      </c>
      <c r="AK46" s="35">
        <f t="shared" si="20"/>
        <v>1.95</v>
      </c>
      <c r="AL46" s="17">
        <f t="shared" si="21"/>
        <v>152100</v>
      </c>
      <c r="AM46" s="17">
        <f t="shared" si="22"/>
        <v>-49.97268674</v>
      </c>
      <c r="AN46" s="20">
        <f t="shared" si="23"/>
        <v>-0.0003284436129</v>
      </c>
      <c r="AO46" s="35"/>
      <c r="AP46" s="35"/>
      <c r="AQ46" s="35"/>
      <c r="AR46" s="35"/>
      <c r="AS46" s="35"/>
      <c r="AT46" s="35"/>
      <c r="AU46" s="35"/>
      <c r="AV46" s="35">
        <v>1.95</v>
      </c>
      <c r="AW46" s="35" t="s">
        <v>41</v>
      </c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18"/>
      <c r="BT46" s="18"/>
      <c r="BU46" s="25"/>
      <c r="BV46" s="25"/>
      <c r="BW46" s="25"/>
      <c r="BX46" s="25"/>
      <c r="BY46" s="25">
        <v>3.2076</v>
      </c>
      <c r="BZ46" s="25" t="s">
        <v>130</v>
      </c>
      <c r="CA46" s="25"/>
      <c r="CB46" s="26"/>
      <c r="CC46" s="26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25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25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25" t="str">
        <f t="shared" ref="FN46:FY46" si="104">$AD46*#REF!</f>
        <v>#REF!</v>
      </c>
      <c r="FO46" s="25" t="str">
        <f t="shared" si="104"/>
        <v>#REF!</v>
      </c>
      <c r="FP46" s="25" t="str">
        <f t="shared" si="104"/>
        <v>#REF!</v>
      </c>
      <c r="FQ46" s="25" t="str">
        <f t="shared" si="104"/>
        <v>#REF!</v>
      </c>
      <c r="FR46" s="25" t="str">
        <f t="shared" si="104"/>
        <v>#REF!</v>
      </c>
      <c r="FS46" s="25" t="str">
        <f t="shared" si="104"/>
        <v>#REF!</v>
      </c>
      <c r="FT46" s="25" t="str">
        <f t="shared" si="104"/>
        <v>#REF!</v>
      </c>
      <c r="FU46" s="25" t="str">
        <f t="shared" si="104"/>
        <v>#REF!</v>
      </c>
      <c r="FV46" s="25" t="str">
        <f t="shared" si="104"/>
        <v>#REF!</v>
      </c>
      <c r="FW46" s="25" t="str">
        <f t="shared" si="104"/>
        <v>#REF!</v>
      </c>
      <c r="FX46" s="25" t="str">
        <f t="shared" si="104"/>
        <v>#REF!</v>
      </c>
      <c r="FY46" s="25" t="str">
        <f t="shared" si="104"/>
        <v>#REF!</v>
      </c>
      <c r="FZ46" s="25" t="str">
        <f t="shared" si="25"/>
        <v>#REF!</v>
      </c>
      <c r="GA46" s="25" t="str">
        <f t="shared" si="26"/>
        <v>#REF!</v>
      </c>
      <c r="GB46" s="25" t="s">
        <v>75</v>
      </c>
      <c r="GC46" s="25">
        <f t="shared" si="27"/>
        <v>0</v>
      </c>
      <c r="GD46" s="25">
        <f t="shared" si="28"/>
        <v>0</v>
      </c>
      <c r="GE46" s="25">
        <f t="shared" si="29"/>
        <v>0</v>
      </c>
      <c r="GF46" s="25">
        <f t="shared" si="30"/>
        <v>0</v>
      </c>
      <c r="GG46" s="25">
        <f t="shared" si="31"/>
        <v>-4.164390561</v>
      </c>
      <c r="GH46" s="25">
        <f t="shared" si="32"/>
        <v>-4.164390561</v>
      </c>
      <c r="GI46" s="25">
        <f t="shared" si="33"/>
        <v>-4.164390561</v>
      </c>
      <c r="GJ46" s="25">
        <f t="shared" si="34"/>
        <v>-4.164390561</v>
      </c>
      <c r="GK46" s="25">
        <f t="shared" si="35"/>
        <v>-4.164390561</v>
      </c>
      <c r="GL46" s="25">
        <f t="shared" si="36"/>
        <v>-4.164390561</v>
      </c>
      <c r="GM46" s="25">
        <f t="shared" si="37"/>
        <v>-4.164390561</v>
      </c>
      <c r="GN46" s="25">
        <f t="shared" si="38"/>
        <v>-4.164390561</v>
      </c>
      <c r="GO46" s="30">
        <f t="shared" si="39"/>
        <v>-33.31512449</v>
      </c>
      <c r="GP46" s="25">
        <f t="shared" si="40"/>
        <v>-16.65756225</v>
      </c>
      <c r="GQ46" s="27" t="str">
        <f t="shared" si="41"/>
        <v>#REF!</v>
      </c>
      <c r="GR46" s="28">
        <f t="shared" si="42"/>
        <v>-49.97268674</v>
      </c>
      <c r="GS46" s="29">
        <f t="shared" si="43"/>
        <v>-0.0003284436129</v>
      </c>
      <c r="GT46" s="25" t="str">
        <f t="shared" si="44"/>
        <v>MAI</v>
      </c>
      <c r="GU46" s="25">
        <f t="shared" si="45"/>
        <v>0</v>
      </c>
      <c r="GV46" s="25">
        <f t="shared" si="46"/>
        <v>0</v>
      </c>
      <c r="GW46" s="25">
        <f t="shared" si="47"/>
        <v>0</v>
      </c>
      <c r="GX46" s="30">
        <f t="shared" si="48"/>
        <v>0</v>
      </c>
      <c r="GY46" s="30">
        <f t="shared" si="49"/>
        <v>-4.164390561</v>
      </c>
      <c r="GZ46" s="30">
        <f t="shared" si="50"/>
        <v>-4.164390561</v>
      </c>
      <c r="HA46" s="30">
        <f t="shared" si="51"/>
        <v>-4.164390561</v>
      </c>
      <c r="HB46" s="30">
        <f t="shared" si="52"/>
        <v>-4.164390561</v>
      </c>
      <c r="HC46" s="30">
        <f t="shared" si="53"/>
        <v>-4.164390561</v>
      </c>
      <c r="HD46" s="30">
        <f t="shared" si="54"/>
        <v>-4.164390561</v>
      </c>
      <c r="HE46" s="30">
        <f t="shared" si="55"/>
        <v>-4.164390561</v>
      </c>
      <c r="HF46" s="30">
        <f t="shared" si="56"/>
        <v>-4.164390561</v>
      </c>
      <c r="HG46" s="30">
        <f t="shared" si="57"/>
        <v>-33.31512449</v>
      </c>
      <c r="HH46" s="30">
        <f t="shared" si="58"/>
        <v>-16.65756225</v>
      </c>
      <c r="HI46" s="27" t="str">
        <f t="shared" si="59"/>
        <v>#REF!</v>
      </c>
      <c r="HJ46" s="12"/>
      <c r="HK46" s="12">
        <v>0.0</v>
      </c>
      <c r="HL46" s="12">
        <v>0.0</v>
      </c>
      <c r="HM46" s="25" t="str">
        <f t="shared" si="60"/>
        <v>MAI</v>
      </c>
      <c r="HN46" s="12" t="str">
        <f t="shared" si="61"/>
        <v/>
      </c>
    </row>
    <row r="47" ht="13.5" customHeight="1">
      <c r="A47" s="12" t="str">
        <f t="shared" si="2"/>
        <v>212234</v>
      </c>
      <c r="B47" s="31" t="s">
        <v>0</v>
      </c>
      <c r="C47" s="32" t="s">
        <v>94</v>
      </c>
      <c r="D47" s="32" t="s">
        <v>95</v>
      </c>
      <c r="E47" s="33">
        <v>212234.0</v>
      </c>
      <c r="F47" s="31" t="s">
        <v>135</v>
      </c>
      <c r="G47" s="31" t="s">
        <v>122</v>
      </c>
      <c r="H47" s="34">
        <v>2235.0</v>
      </c>
      <c r="I47" s="31" t="s">
        <v>123</v>
      </c>
      <c r="J47" s="31" t="s">
        <v>104</v>
      </c>
      <c r="K47" s="34">
        <v>270000.0</v>
      </c>
      <c r="L47" s="17">
        <f t="shared" si="3"/>
        <v>151199.92</v>
      </c>
      <c r="M47" s="35">
        <v>0.5599997037037038</v>
      </c>
      <c r="N47" s="31">
        <v>0.58</v>
      </c>
      <c r="O47" s="17">
        <f t="shared" si="4"/>
        <v>156600</v>
      </c>
      <c r="P47" s="36" t="s">
        <v>104</v>
      </c>
      <c r="Q47" s="37">
        <v>0.6061713249835201</v>
      </c>
      <c r="R47" s="38">
        <f t="shared" si="5"/>
        <v>163666.2577</v>
      </c>
      <c r="S47" s="36">
        <f t="shared" si="6"/>
        <v>13638.85481</v>
      </c>
      <c r="T47" s="36">
        <f t="shared" si="7"/>
        <v>12466.33775</v>
      </c>
      <c r="U47" s="39">
        <f t="shared" si="8"/>
        <v>0.08244936734</v>
      </c>
      <c r="V47" s="21">
        <v>0.623169200968523</v>
      </c>
      <c r="W47" s="17">
        <f t="shared" si="9"/>
        <v>168255.6843</v>
      </c>
      <c r="X47" s="36">
        <f t="shared" si="10"/>
        <v>14021.30702</v>
      </c>
      <c r="Y47" s="17">
        <f t="shared" si="11"/>
        <v>17055.76426</v>
      </c>
      <c r="Z47" s="20">
        <f t="shared" si="12"/>
        <v>0.1128027334</v>
      </c>
      <c r="AA47" s="40">
        <v>0.12</v>
      </c>
      <c r="AB47" s="35">
        <f t="shared" si="13"/>
        <v>0.533430766</v>
      </c>
      <c r="AC47" s="35">
        <f t="shared" si="14"/>
        <v>144026.3068</v>
      </c>
      <c r="AD47" s="35">
        <f t="shared" si="15"/>
        <v>-19639.95093</v>
      </c>
      <c r="AE47" s="41">
        <f t="shared" si="16"/>
        <v>-0.12</v>
      </c>
      <c r="AF47" s="18">
        <f t="shared" si="17"/>
        <v>-24229.37745</v>
      </c>
      <c r="AG47" s="24">
        <f t="shared" si="18"/>
        <v>-0.1440033218</v>
      </c>
      <c r="AH47" s="31" t="s">
        <v>105</v>
      </c>
      <c r="AI47" s="31"/>
      <c r="AJ47" s="33" t="str">
        <f t="shared" si="19"/>
        <v>BD COLETA</v>
      </c>
      <c r="AK47" s="35">
        <f t="shared" si="20"/>
        <v>0.58</v>
      </c>
      <c r="AL47" s="17">
        <f t="shared" si="21"/>
        <v>156600</v>
      </c>
      <c r="AM47" s="17">
        <f t="shared" si="22"/>
        <v>-11655.68426</v>
      </c>
      <c r="AN47" s="20">
        <f t="shared" si="23"/>
        <v>-0.06927364334</v>
      </c>
      <c r="AO47" s="35"/>
      <c r="AP47" s="35"/>
      <c r="AQ47" s="35"/>
      <c r="AR47" s="35">
        <v>0.58</v>
      </c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18"/>
      <c r="BT47" s="18"/>
      <c r="BU47" s="25"/>
      <c r="BV47" s="25"/>
      <c r="BW47" s="25"/>
      <c r="BX47" s="25"/>
      <c r="BY47" s="25"/>
      <c r="BZ47" s="25"/>
      <c r="CA47" s="25"/>
      <c r="CB47" s="26"/>
      <c r="CC47" s="26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25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25" t="str">
        <f t="shared" ref="FN47:FY47" si="105">$AD47*#REF!</f>
        <v>#REF!</v>
      </c>
      <c r="FO47" s="25" t="str">
        <f t="shared" si="105"/>
        <v>#REF!</v>
      </c>
      <c r="FP47" s="25" t="str">
        <f t="shared" si="105"/>
        <v>#REF!</v>
      </c>
      <c r="FQ47" s="25" t="str">
        <f t="shared" si="105"/>
        <v>#REF!</v>
      </c>
      <c r="FR47" s="25" t="str">
        <f t="shared" si="105"/>
        <v>#REF!</v>
      </c>
      <c r="FS47" s="25" t="str">
        <f t="shared" si="105"/>
        <v>#REF!</v>
      </c>
      <c r="FT47" s="25" t="str">
        <f t="shared" si="105"/>
        <v>#REF!</v>
      </c>
      <c r="FU47" s="25" t="str">
        <f t="shared" si="105"/>
        <v>#REF!</v>
      </c>
      <c r="FV47" s="25" t="str">
        <f t="shared" si="105"/>
        <v>#REF!</v>
      </c>
      <c r="FW47" s="25" t="str">
        <f t="shared" si="105"/>
        <v>#REF!</v>
      </c>
      <c r="FX47" s="25" t="str">
        <f t="shared" si="105"/>
        <v>#REF!</v>
      </c>
      <c r="FY47" s="25" t="str">
        <f t="shared" si="105"/>
        <v>#REF!</v>
      </c>
      <c r="FZ47" s="25" t="str">
        <f t="shared" si="25"/>
        <v>#REF!</v>
      </c>
      <c r="GA47" s="25" t="str">
        <f t="shared" si="26"/>
        <v>#REF!</v>
      </c>
      <c r="GB47" s="25" t="s">
        <v>76</v>
      </c>
      <c r="GC47" s="25">
        <f t="shared" si="27"/>
        <v>0</v>
      </c>
      <c r="GD47" s="25">
        <f t="shared" si="28"/>
        <v>0</v>
      </c>
      <c r="GE47" s="25">
        <f t="shared" si="29"/>
        <v>0</v>
      </c>
      <c r="GF47" s="25">
        <f t="shared" si="30"/>
        <v>0</v>
      </c>
      <c r="GG47" s="25">
        <f t="shared" si="31"/>
        <v>0</v>
      </c>
      <c r="GH47" s="25">
        <f t="shared" si="32"/>
        <v>-971.3070218</v>
      </c>
      <c r="GI47" s="25">
        <f t="shared" si="33"/>
        <v>-971.3070218</v>
      </c>
      <c r="GJ47" s="25">
        <f t="shared" si="34"/>
        <v>-971.3070218</v>
      </c>
      <c r="GK47" s="25">
        <f t="shared" si="35"/>
        <v>-971.3070218</v>
      </c>
      <c r="GL47" s="25">
        <f t="shared" si="36"/>
        <v>-971.3070218</v>
      </c>
      <c r="GM47" s="25">
        <f t="shared" si="37"/>
        <v>-971.3070218</v>
      </c>
      <c r="GN47" s="25">
        <f t="shared" si="38"/>
        <v>-971.3070218</v>
      </c>
      <c r="GO47" s="25">
        <f t="shared" si="39"/>
        <v>-6799.149153</v>
      </c>
      <c r="GP47" s="25">
        <f t="shared" si="40"/>
        <v>-4856.535109</v>
      </c>
      <c r="GQ47" s="27" t="str">
        <f t="shared" si="41"/>
        <v>#REF!</v>
      </c>
      <c r="GR47" s="28">
        <f t="shared" si="42"/>
        <v>-11655.68426</v>
      </c>
      <c r="GS47" s="29">
        <f t="shared" si="43"/>
        <v>-0.06927364334</v>
      </c>
      <c r="GT47" s="25" t="str">
        <f t="shared" si="44"/>
        <v>JUN</v>
      </c>
      <c r="GU47" s="25">
        <f t="shared" si="45"/>
        <v>0</v>
      </c>
      <c r="GV47" s="25">
        <f t="shared" si="46"/>
        <v>0</v>
      </c>
      <c r="GW47" s="25">
        <f t="shared" si="47"/>
        <v>0</v>
      </c>
      <c r="GX47" s="30">
        <f t="shared" si="48"/>
        <v>0</v>
      </c>
      <c r="GY47" s="30">
        <f t="shared" si="49"/>
        <v>0</v>
      </c>
      <c r="GZ47" s="30">
        <f t="shared" si="50"/>
        <v>-971.3070218</v>
      </c>
      <c r="HA47" s="30">
        <f t="shared" si="51"/>
        <v>-971.3070218</v>
      </c>
      <c r="HB47" s="30">
        <f t="shared" si="52"/>
        <v>-971.3070218</v>
      </c>
      <c r="HC47" s="30">
        <f t="shared" si="53"/>
        <v>-971.3070218</v>
      </c>
      <c r="HD47" s="30">
        <f t="shared" si="54"/>
        <v>-971.3070218</v>
      </c>
      <c r="HE47" s="30">
        <f t="shared" si="55"/>
        <v>-971.3070218</v>
      </c>
      <c r="HF47" s="30">
        <f t="shared" si="56"/>
        <v>-971.3070218</v>
      </c>
      <c r="HG47" s="30">
        <f t="shared" si="57"/>
        <v>-6799.149153</v>
      </c>
      <c r="HH47" s="30">
        <f t="shared" si="58"/>
        <v>-4856.535109</v>
      </c>
      <c r="HI47" s="27" t="str">
        <f t="shared" si="59"/>
        <v>#REF!</v>
      </c>
      <c r="HJ47" s="12"/>
      <c r="HK47" s="12">
        <v>0.0</v>
      </c>
      <c r="HL47" s="12">
        <v>0.0</v>
      </c>
      <c r="HM47" s="25" t="str">
        <f t="shared" si="60"/>
        <v>JUN</v>
      </c>
      <c r="HN47" s="12" t="str">
        <f t="shared" si="61"/>
        <v/>
      </c>
    </row>
    <row r="48" ht="13.5" customHeight="1">
      <c r="A48" s="12" t="str">
        <f t="shared" si="2"/>
        <v>212236</v>
      </c>
      <c r="B48" s="31" t="s">
        <v>0</v>
      </c>
      <c r="C48" s="32" t="s">
        <v>94</v>
      </c>
      <c r="D48" s="32" t="s">
        <v>95</v>
      </c>
      <c r="E48" s="33">
        <v>212236.0</v>
      </c>
      <c r="F48" s="31" t="s">
        <v>124</v>
      </c>
      <c r="G48" s="31" t="s">
        <v>120</v>
      </c>
      <c r="H48" s="34">
        <v>2044.0</v>
      </c>
      <c r="I48" s="31" t="s">
        <v>121</v>
      </c>
      <c r="J48" s="31" t="s">
        <v>132</v>
      </c>
      <c r="K48" s="34">
        <v>218100.0</v>
      </c>
      <c r="L48" s="17">
        <f t="shared" si="3"/>
        <v>140212</v>
      </c>
      <c r="M48" s="35">
        <v>0.6428794131132508</v>
      </c>
      <c r="N48" s="31">
        <v>0.39</v>
      </c>
      <c r="O48" s="17">
        <f t="shared" si="4"/>
        <v>85059</v>
      </c>
      <c r="P48" s="36" t="s">
        <v>104</v>
      </c>
      <c r="Q48" s="37">
        <v>0.38626284006723527</v>
      </c>
      <c r="R48" s="38">
        <f t="shared" si="5"/>
        <v>84243.92542</v>
      </c>
      <c r="S48" s="36">
        <f t="shared" si="6"/>
        <v>7020.327118</v>
      </c>
      <c r="T48" s="36">
        <f t="shared" si="7"/>
        <v>-55968.07458</v>
      </c>
      <c r="U48" s="39">
        <f t="shared" si="8"/>
        <v>-0.3991675076</v>
      </c>
      <c r="V48" s="21">
        <v>0.3972651227954509</v>
      </c>
      <c r="W48" s="17">
        <f t="shared" si="9"/>
        <v>86643.52328</v>
      </c>
      <c r="X48" s="36">
        <f t="shared" si="10"/>
        <v>7220.293607</v>
      </c>
      <c r="Y48" s="17">
        <f t="shared" si="11"/>
        <v>-53568.47672</v>
      </c>
      <c r="Z48" s="20">
        <f t="shared" si="12"/>
        <v>-0.3820534385</v>
      </c>
      <c r="AA48" s="40">
        <v>0.12</v>
      </c>
      <c r="AB48" s="35">
        <f t="shared" si="13"/>
        <v>0.3399112993</v>
      </c>
      <c r="AC48" s="35">
        <f t="shared" si="14"/>
        <v>74134.65437</v>
      </c>
      <c r="AD48" s="35">
        <f t="shared" si="15"/>
        <v>-10109.27105</v>
      </c>
      <c r="AE48" s="41">
        <f t="shared" si="16"/>
        <v>-0.12</v>
      </c>
      <c r="AF48" s="18">
        <f t="shared" si="17"/>
        <v>-12508.86891</v>
      </c>
      <c r="AG48" s="24">
        <f t="shared" si="18"/>
        <v>-0.1443716557</v>
      </c>
      <c r="AH48" s="31" t="s">
        <v>105</v>
      </c>
      <c r="AI48" s="31"/>
      <c r="AJ48" s="33" t="str">
        <f t="shared" si="19"/>
        <v>BD COLETA</v>
      </c>
      <c r="AK48" s="35">
        <f t="shared" si="20"/>
        <v>0.39</v>
      </c>
      <c r="AL48" s="17">
        <f t="shared" si="21"/>
        <v>85059</v>
      </c>
      <c r="AM48" s="17">
        <f t="shared" si="22"/>
        <v>-1584.523282</v>
      </c>
      <c r="AN48" s="20">
        <f t="shared" si="23"/>
        <v>-0.01828784451</v>
      </c>
      <c r="AO48" s="35"/>
      <c r="AP48" s="35"/>
      <c r="AQ48" s="35"/>
      <c r="AR48" s="35">
        <v>0.39</v>
      </c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18"/>
      <c r="BT48" s="18"/>
      <c r="BU48" s="25"/>
      <c r="BV48" s="25"/>
      <c r="BW48" s="25"/>
      <c r="BX48" s="25"/>
      <c r="BY48" s="25"/>
      <c r="BZ48" s="25"/>
      <c r="CA48" s="25"/>
      <c r="CB48" s="26"/>
      <c r="CC48" s="26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25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25" t="str">
        <f t="shared" ref="FN48:FY48" si="106">$AD48*#REF!</f>
        <v>#REF!</v>
      </c>
      <c r="FO48" s="25" t="str">
        <f t="shared" si="106"/>
        <v>#REF!</v>
      </c>
      <c r="FP48" s="25" t="str">
        <f t="shared" si="106"/>
        <v>#REF!</v>
      </c>
      <c r="FQ48" s="25" t="str">
        <f t="shared" si="106"/>
        <v>#REF!</v>
      </c>
      <c r="FR48" s="25" t="str">
        <f t="shared" si="106"/>
        <v>#REF!</v>
      </c>
      <c r="FS48" s="25" t="str">
        <f t="shared" si="106"/>
        <v>#REF!</v>
      </c>
      <c r="FT48" s="25" t="str">
        <f t="shared" si="106"/>
        <v>#REF!</v>
      </c>
      <c r="FU48" s="25" t="str">
        <f t="shared" si="106"/>
        <v>#REF!</v>
      </c>
      <c r="FV48" s="25" t="str">
        <f t="shared" si="106"/>
        <v>#REF!</v>
      </c>
      <c r="FW48" s="25" t="str">
        <f t="shared" si="106"/>
        <v>#REF!</v>
      </c>
      <c r="FX48" s="25" t="str">
        <f t="shared" si="106"/>
        <v>#REF!</v>
      </c>
      <c r="FY48" s="25" t="str">
        <f t="shared" si="106"/>
        <v>#REF!</v>
      </c>
      <c r="FZ48" s="25" t="str">
        <f t="shared" si="25"/>
        <v>#REF!</v>
      </c>
      <c r="GA48" s="25" t="str">
        <f t="shared" si="26"/>
        <v>#REF!</v>
      </c>
      <c r="GB48" s="25" t="s">
        <v>76</v>
      </c>
      <c r="GC48" s="25">
        <f t="shared" si="27"/>
        <v>0</v>
      </c>
      <c r="GD48" s="25">
        <f t="shared" si="28"/>
        <v>0</v>
      </c>
      <c r="GE48" s="25">
        <f t="shared" si="29"/>
        <v>0</v>
      </c>
      <c r="GF48" s="25">
        <f t="shared" si="30"/>
        <v>0</v>
      </c>
      <c r="GG48" s="25">
        <f t="shared" si="31"/>
        <v>0</v>
      </c>
      <c r="GH48" s="25">
        <f t="shared" si="32"/>
        <v>-132.0436068</v>
      </c>
      <c r="GI48" s="25">
        <f t="shared" si="33"/>
        <v>-132.0436068</v>
      </c>
      <c r="GJ48" s="25">
        <f t="shared" si="34"/>
        <v>-132.0436068</v>
      </c>
      <c r="GK48" s="25">
        <f t="shared" si="35"/>
        <v>-132.0436068</v>
      </c>
      <c r="GL48" s="25">
        <f t="shared" si="36"/>
        <v>-132.0436068</v>
      </c>
      <c r="GM48" s="25">
        <f t="shared" si="37"/>
        <v>-132.0436068</v>
      </c>
      <c r="GN48" s="25">
        <f t="shared" si="38"/>
        <v>-132.0436068</v>
      </c>
      <c r="GO48" s="25">
        <f t="shared" si="39"/>
        <v>-924.3052477</v>
      </c>
      <c r="GP48" s="25">
        <f t="shared" si="40"/>
        <v>-660.218034</v>
      </c>
      <c r="GQ48" s="27" t="str">
        <f t="shared" si="41"/>
        <v>#REF!</v>
      </c>
      <c r="GR48" s="28">
        <f t="shared" si="42"/>
        <v>-1584.523282</v>
      </c>
      <c r="GS48" s="29">
        <f t="shared" si="43"/>
        <v>-0.01828784451</v>
      </c>
      <c r="GT48" s="25" t="str">
        <f t="shared" si="44"/>
        <v>JUN</v>
      </c>
      <c r="GU48" s="25">
        <f t="shared" si="45"/>
        <v>0</v>
      </c>
      <c r="GV48" s="25">
        <f t="shared" si="46"/>
        <v>0</v>
      </c>
      <c r="GW48" s="25">
        <f t="shared" si="47"/>
        <v>0</v>
      </c>
      <c r="GX48" s="30">
        <f t="shared" si="48"/>
        <v>0</v>
      </c>
      <c r="GY48" s="30">
        <f t="shared" si="49"/>
        <v>0</v>
      </c>
      <c r="GZ48" s="30">
        <f t="shared" si="50"/>
        <v>-132.0436068</v>
      </c>
      <c r="HA48" s="30">
        <f t="shared" si="51"/>
        <v>-132.0436068</v>
      </c>
      <c r="HB48" s="30">
        <f t="shared" si="52"/>
        <v>-132.0436068</v>
      </c>
      <c r="HC48" s="30">
        <f t="shared" si="53"/>
        <v>-132.0436068</v>
      </c>
      <c r="HD48" s="30">
        <f t="shared" si="54"/>
        <v>-132.0436068</v>
      </c>
      <c r="HE48" s="30">
        <f t="shared" si="55"/>
        <v>-132.0436068</v>
      </c>
      <c r="HF48" s="30">
        <f t="shared" si="56"/>
        <v>-132.0436068</v>
      </c>
      <c r="HG48" s="30">
        <f t="shared" si="57"/>
        <v>-924.3052477</v>
      </c>
      <c r="HH48" s="30">
        <f t="shared" si="58"/>
        <v>-660.218034</v>
      </c>
      <c r="HI48" s="27" t="str">
        <f t="shared" si="59"/>
        <v>#REF!</v>
      </c>
      <c r="HJ48" s="12"/>
      <c r="HK48" s="12">
        <v>0.0</v>
      </c>
      <c r="HL48" s="12">
        <v>0.0</v>
      </c>
      <c r="HM48" s="25" t="str">
        <f t="shared" si="60"/>
        <v>JUN</v>
      </c>
      <c r="HN48" s="12" t="str">
        <f t="shared" si="61"/>
        <v/>
      </c>
    </row>
    <row r="49" ht="13.5" customHeight="1">
      <c r="A49" s="12"/>
      <c r="B49" s="12"/>
      <c r="C49" s="12"/>
      <c r="D49" s="12"/>
      <c r="E49" s="42"/>
      <c r="F49" s="12"/>
      <c r="G49" s="12"/>
      <c r="H49" s="43"/>
      <c r="I49" s="12"/>
      <c r="J49" s="12"/>
      <c r="K49" s="43"/>
      <c r="L49" s="30"/>
      <c r="M49" s="25"/>
      <c r="N49" s="12"/>
      <c r="O49" s="12"/>
      <c r="P49" s="12"/>
      <c r="Q49" s="44"/>
      <c r="R49" s="12"/>
      <c r="S49" s="12"/>
      <c r="T49" s="12"/>
      <c r="U49" s="43"/>
      <c r="V49" s="44"/>
      <c r="W49" s="12"/>
      <c r="X49" s="12"/>
      <c r="Y49" s="12"/>
      <c r="Z49" s="43"/>
      <c r="AA49" s="43"/>
      <c r="AB49" s="12"/>
      <c r="AC49" s="12"/>
      <c r="AD49" s="12"/>
      <c r="AE49" s="12"/>
      <c r="AF49" s="12"/>
      <c r="AG49" s="12"/>
      <c r="AH49" s="12"/>
      <c r="AI49" s="12"/>
      <c r="AJ49" s="42"/>
      <c r="AK49" s="12"/>
      <c r="AL49" s="12"/>
      <c r="AM49" s="12"/>
      <c r="AN49" s="43"/>
      <c r="AO49" s="25"/>
      <c r="AP49" s="25"/>
      <c r="AQ49" s="25"/>
      <c r="AR49" s="25"/>
      <c r="AS49" s="3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45"/>
      <c r="BV49" s="25"/>
      <c r="BW49" s="25"/>
      <c r="BX49" s="25"/>
      <c r="BY49" s="25"/>
      <c r="BZ49" s="25"/>
      <c r="CA49" s="25"/>
      <c r="CB49" s="26"/>
      <c r="CC49" s="26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46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25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30"/>
      <c r="GP49" s="30"/>
      <c r="GQ49" s="12"/>
      <c r="GR49" s="30"/>
      <c r="GS49" s="12"/>
      <c r="GT49" s="12"/>
      <c r="GU49" s="25"/>
      <c r="GV49" s="12"/>
      <c r="GW49" s="12"/>
      <c r="GX49" s="30"/>
      <c r="GY49" s="30"/>
      <c r="GZ49" s="30"/>
      <c r="HA49" s="30"/>
      <c r="HB49" s="30"/>
      <c r="HC49" s="30"/>
      <c r="HD49" s="30"/>
      <c r="HE49" s="30"/>
      <c r="HF49" s="30"/>
      <c r="HG49" s="30"/>
      <c r="HH49" s="30"/>
      <c r="HI49" s="12"/>
      <c r="HJ49" s="12"/>
      <c r="HK49" s="12"/>
      <c r="HL49" s="12"/>
      <c r="HM49" s="12"/>
      <c r="HN49" s="12"/>
    </row>
    <row r="50" ht="13.5" customHeight="1">
      <c r="A50" s="12"/>
      <c r="B50" s="12"/>
      <c r="C50" s="12"/>
      <c r="D50" s="12"/>
      <c r="E50" s="42"/>
      <c r="F50" s="12"/>
      <c r="G50" s="12"/>
      <c r="H50" s="43"/>
      <c r="I50" s="12"/>
      <c r="J50" s="12"/>
      <c r="K50" s="43"/>
      <c r="L50" s="30"/>
      <c r="M50" s="25"/>
      <c r="N50" s="12"/>
      <c r="O50" s="12"/>
      <c r="P50" s="12"/>
      <c r="Q50" s="44"/>
      <c r="R50" s="12"/>
      <c r="S50" s="12"/>
      <c r="T50" s="12"/>
      <c r="U50" s="43"/>
      <c r="V50" s="44"/>
      <c r="W50" s="12"/>
      <c r="X50" s="12"/>
      <c r="Y50" s="12"/>
      <c r="Z50" s="43"/>
      <c r="AA50" s="43"/>
      <c r="AB50" s="12"/>
      <c r="AC50" s="12"/>
      <c r="AD50" s="12"/>
      <c r="AE50" s="12"/>
      <c r="AF50" s="12"/>
      <c r="AG50" s="12"/>
      <c r="AH50" s="12"/>
      <c r="AI50" s="12"/>
      <c r="AJ50" s="42"/>
      <c r="AK50" s="12"/>
      <c r="AL50" s="12"/>
      <c r="AM50" s="12"/>
      <c r="AN50" s="43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45"/>
      <c r="BV50" s="25"/>
      <c r="BW50" s="25"/>
      <c r="BX50" s="25"/>
      <c r="BY50" s="25"/>
      <c r="BZ50" s="25"/>
      <c r="CA50" s="25"/>
      <c r="CB50" s="26"/>
      <c r="CC50" s="26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46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25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30"/>
      <c r="GP50" s="30"/>
      <c r="GQ50" s="12"/>
      <c r="GR50" s="30"/>
      <c r="GS50" s="12"/>
      <c r="GT50" s="12"/>
      <c r="GU50" s="25"/>
      <c r="GV50" s="12"/>
      <c r="GW50" s="12"/>
      <c r="GX50" s="30"/>
      <c r="GY50" s="30"/>
      <c r="GZ50" s="30"/>
      <c r="HA50" s="30"/>
      <c r="HB50" s="30"/>
      <c r="HC50" s="30"/>
      <c r="HD50" s="30"/>
      <c r="HE50" s="30"/>
      <c r="HF50" s="30"/>
      <c r="HG50" s="30"/>
      <c r="HH50" s="30"/>
      <c r="HI50" s="12"/>
      <c r="HJ50" s="12"/>
      <c r="HK50" s="12"/>
      <c r="HL50" s="12"/>
      <c r="HM50" s="12"/>
      <c r="HN50" s="12"/>
    </row>
    <row r="51" ht="13.5" customHeight="1">
      <c r="A51" s="12"/>
      <c r="B51" s="12"/>
      <c r="C51" s="12"/>
      <c r="D51" s="12"/>
      <c r="E51" s="42"/>
      <c r="F51" s="12"/>
      <c r="G51" s="12"/>
      <c r="H51" s="43"/>
      <c r="I51" s="12"/>
      <c r="J51" s="12"/>
      <c r="K51" s="43"/>
      <c r="L51" s="30"/>
      <c r="M51" s="25"/>
      <c r="N51" s="12"/>
      <c r="O51" s="12"/>
      <c r="P51" s="12"/>
      <c r="Q51" s="44"/>
      <c r="R51" s="12"/>
      <c r="S51" s="12"/>
      <c r="T51" s="12"/>
      <c r="U51" s="43"/>
      <c r="V51" s="44"/>
      <c r="W51" s="12"/>
      <c r="X51" s="12"/>
      <c r="Y51" s="12"/>
      <c r="Z51" s="43"/>
      <c r="AA51" s="43"/>
      <c r="AB51" s="12"/>
      <c r="AC51" s="12"/>
      <c r="AD51" s="12"/>
      <c r="AE51" s="12"/>
      <c r="AF51" s="12"/>
      <c r="AG51" s="12"/>
      <c r="AH51" s="12"/>
      <c r="AI51" s="12"/>
      <c r="AJ51" s="42"/>
      <c r="AK51" s="12"/>
      <c r="AL51" s="12"/>
      <c r="AM51" s="12"/>
      <c r="AN51" s="43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45"/>
      <c r="BV51" s="25"/>
      <c r="BW51" s="25"/>
      <c r="BX51" s="25"/>
      <c r="BY51" s="25"/>
      <c r="BZ51" s="25"/>
      <c r="CA51" s="25"/>
      <c r="CB51" s="26"/>
      <c r="CC51" s="26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46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25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30"/>
      <c r="GP51" s="30"/>
      <c r="GQ51" s="12"/>
      <c r="GR51" s="30"/>
      <c r="GS51" s="12"/>
      <c r="GT51" s="12"/>
      <c r="GU51" s="25"/>
      <c r="GV51" s="12"/>
      <c r="GW51" s="12"/>
      <c r="GX51" s="30"/>
      <c r="GY51" s="30"/>
      <c r="GZ51" s="30"/>
      <c r="HA51" s="30"/>
      <c r="HB51" s="30"/>
      <c r="HC51" s="30"/>
      <c r="HD51" s="30"/>
      <c r="HE51" s="30"/>
      <c r="HF51" s="30"/>
      <c r="HG51" s="30"/>
      <c r="HH51" s="30"/>
      <c r="HI51" s="12"/>
      <c r="HJ51" s="12"/>
      <c r="HK51" s="12"/>
      <c r="HL51" s="12"/>
      <c r="HM51" s="12"/>
      <c r="HN51" s="12"/>
    </row>
    <row r="52" ht="13.5" customHeight="1">
      <c r="A52" s="12"/>
      <c r="B52" s="12"/>
      <c r="C52" s="12"/>
      <c r="D52" s="12"/>
      <c r="E52" s="42"/>
      <c r="F52" s="12"/>
      <c r="G52" s="12"/>
      <c r="H52" s="43"/>
      <c r="I52" s="12"/>
      <c r="J52" s="12"/>
      <c r="K52" s="43"/>
      <c r="L52" s="30"/>
      <c r="M52" s="25"/>
      <c r="N52" s="12"/>
      <c r="O52" s="12"/>
      <c r="P52" s="12"/>
      <c r="Q52" s="44"/>
      <c r="R52" s="12"/>
      <c r="S52" s="12"/>
      <c r="T52" s="12"/>
      <c r="U52" s="43"/>
      <c r="V52" s="44"/>
      <c r="W52" s="12"/>
      <c r="X52" s="12"/>
      <c r="Y52" s="12"/>
      <c r="Z52" s="43"/>
      <c r="AA52" s="43"/>
      <c r="AB52" s="12"/>
      <c r="AC52" s="12"/>
      <c r="AD52" s="12"/>
      <c r="AE52" s="12"/>
      <c r="AF52" s="12"/>
      <c r="AG52" s="12"/>
      <c r="AH52" s="12"/>
      <c r="AI52" s="12"/>
      <c r="AJ52" s="42"/>
      <c r="AK52" s="12"/>
      <c r="AL52" s="12"/>
      <c r="AM52" s="12"/>
      <c r="AN52" s="43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45"/>
      <c r="BV52" s="25"/>
      <c r="BW52" s="25"/>
      <c r="BX52" s="25"/>
      <c r="BY52" s="25"/>
      <c r="BZ52" s="25"/>
      <c r="CA52" s="25"/>
      <c r="CB52" s="26"/>
      <c r="CC52" s="26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46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25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30"/>
      <c r="GP52" s="30"/>
      <c r="GQ52" s="12"/>
      <c r="GR52" s="30"/>
      <c r="GS52" s="12"/>
      <c r="GT52" s="12"/>
      <c r="GU52" s="25"/>
      <c r="GV52" s="12"/>
      <c r="GW52" s="12"/>
      <c r="GX52" s="30"/>
      <c r="GY52" s="30"/>
      <c r="GZ52" s="30"/>
      <c r="HA52" s="30"/>
      <c r="HB52" s="30"/>
      <c r="HC52" s="30"/>
      <c r="HD52" s="30"/>
      <c r="HE52" s="30"/>
      <c r="HF52" s="30"/>
      <c r="HG52" s="30"/>
      <c r="HH52" s="30"/>
      <c r="HI52" s="12"/>
      <c r="HJ52" s="12"/>
      <c r="HK52" s="12"/>
      <c r="HL52" s="12"/>
      <c r="HM52" s="12"/>
      <c r="HN52" s="12"/>
    </row>
    <row r="53" ht="13.5" customHeight="1">
      <c r="A53" s="12"/>
      <c r="B53" s="12"/>
      <c r="C53" s="12"/>
      <c r="D53" s="12"/>
      <c r="E53" s="42"/>
      <c r="F53" s="12"/>
      <c r="G53" s="12"/>
      <c r="H53" s="43"/>
      <c r="I53" s="12"/>
      <c r="J53" s="12"/>
      <c r="K53" s="43"/>
      <c r="L53" s="30"/>
      <c r="M53" s="25"/>
      <c r="N53" s="12"/>
      <c r="O53" s="12"/>
      <c r="P53" s="12"/>
      <c r="Q53" s="44"/>
      <c r="R53" s="12"/>
      <c r="S53" s="12"/>
      <c r="T53" s="12"/>
      <c r="U53" s="43"/>
      <c r="V53" s="44"/>
      <c r="W53" s="12"/>
      <c r="X53" s="12"/>
      <c r="Y53" s="12"/>
      <c r="Z53" s="43"/>
      <c r="AA53" s="43"/>
      <c r="AB53" s="12"/>
      <c r="AC53" s="12"/>
      <c r="AD53" s="12"/>
      <c r="AE53" s="12"/>
      <c r="AF53" s="12"/>
      <c r="AG53" s="12"/>
      <c r="AH53" s="12"/>
      <c r="AI53" s="12"/>
      <c r="AJ53" s="42"/>
      <c r="AK53" s="12"/>
      <c r="AL53" s="12"/>
      <c r="AM53" s="12"/>
      <c r="AN53" s="43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45"/>
      <c r="BV53" s="25"/>
      <c r="BW53" s="25"/>
      <c r="BX53" s="25"/>
      <c r="BY53" s="25"/>
      <c r="BZ53" s="25"/>
      <c r="CA53" s="25"/>
      <c r="CB53" s="26"/>
      <c r="CC53" s="26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46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25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30"/>
      <c r="GP53" s="30"/>
      <c r="GQ53" s="12"/>
      <c r="GR53" s="30"/>
      <c r="GS53" s="12"/>
      <c r="GT53" s="12"/>
      <c r="GU53" s="25"/>
      <c r="GV53" s="12"/>
      <c r="GW53" s="12"/>
      <c r="GX53" s="30"/>
      <c r="GY53" s="30"/>
      <c r="GZ53" s="30"/>
      <c r="HA53" s="30"/>
      <c r="HB53" s="30"/>
      <c r="HC53" s="30"/>
      <c r="HD53" s="30"/>
      <c r="HE53" s="30"/>
      <c r="HF53" s="30"/>
      <c r="HG53" s="30"/>
      <c r="HH53" s="30"/>
      <c r="HI53" s="12"/>
      <c r="HJ53" s="12"/>
      <c r="HK53" s="12"/>
      <c r="HL53" s="12"/>
      <c r="HM53" s="12"/>
      <c r="HN53" s="12"/>
    </row>
    <row r="54" ht="13.5" customHeight="1">
      <c r="A54" s="12"/>
      <c r="B54" s="12"/>
      <c r="C54" s="12"/>
      <c r="D54" s="12"/>
      <c r="E54" s="42"/>
      <c r="F54" s="12"/>
      <c r="G54" s="12"/>
      <c r="H54" s="43"/>
      <c r="I54" s="12"/>
      <c r="J54" s="12"/>
      <c r="K54" s="43"/>
      <c r="L54" s="30"/>
      <c r="M54" s="25"/>
      <c r="N54" s="12"/>
      <c r="O54" s="12"/>
      <c r="P54" s="12"/>
      <c r="Q54" s="44"/>
      <c r="R54" s="12"/>
      <c r="S54" s="12"/>
      <c r="T54" s="12"/>
      <c r="U54" s="43"/>
      <c r="V54" s="44"/>
      <c r="W54" s="12"/>
      <c r="X54" s="12"/>
      <c r="Y54" s="12"/>
      <c r="Z54" s="43"/>
      <c r="AA54" s="43"/>
      <c r="AB54" s="12"/>
      <c r="AC54" s="12"/>
      <c r="AD54" s="12"/>
      <c r="AE54" s="12"/>
      <c r="AF54" s="12"/>
      <c r="AG54" s="12"/>
      <c r="AH54" s="12"/>
      <c r="AI54" s="12"/>
      <c r="AJ54" s="42"/>
      <c r="AK54" s="12"/>
      <c r="AL54" s="12"/>
      <c r="AM54" s="12"/>
      <c r="AN54" s="43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45"/>
      <c r="BV54" s="25"/>
      <c r="BW54" s="25"/>
      <c r="BX54" s="25"/>
      <c r="BY54" s="25"/>
      <c r="BZ54" s="25"/>
      <c r="CA54" s="25"/>
      <c r="CB54" s="26"/>
      <c r="CC54" s="26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46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25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30"/>
      <c r="GP54" s="30"/>
      <c r="GQ54" s="12"/>
      <c r="GR54" s="30"/>
      <c r="GS54" s="12"/>
      <c r="GT54" s="12"/>
      <c r="GU54" s="25"/>
      <c r="GV54" s="12"/>
      <c r="GW54" s="12"/>
      <c r="GX54" s="30"/>
      <c r="GY54" s="30"/>
      <c r="GZ54" s="30"/>
      <c r="HA54" s="30"/>
      <c r="HB54" s="30"/>
      <c r="HC54" s="30"/>
      <c r="HD54" s="30"/>
      <c r="HE54" s="30"/>
      <c r="HF54" s="30"/>
      <c r="HG54" s="30"/>
      <c r="HH54" s="30"/>
      <c r="HI54" s="12"/>
      <c r="HJ54" s="12"/>
      <c r="HK54" s="12"/>
      <c r="HL54" s="12"/>
      <c r="HM54" s="12"/>
      <c r="HN54" s="12"/>
    </row>
    <row r="55" ht="13.5" customHeight="1">
      <c r="A55" s="12"/>
      <c r="B55" s="12"/>
      <c r="C55" s="12"/>
      <c r="D55" s="12"/>
      <c r="E55" s="42"/>
      <c r="F55" s="12"/>
      <c r="G55" s="12"/>
      <c r="H55" s="43"/>
      <c r="I55" s="12"/>
      <c r="J55" s="12"/>
      <c r="K55" s="43"/>
      <c r="L55" s="30"/>
      <c r="M55" s="25"/>
      <c r="N55" s="12"/>
      <c r="O55" s="12"/>
      <c r="P55" s="12"/>
      <c r="Q55" s="44"/>
      <c r="R55" s="12"/>
      <c r="S55" s="12"/>
      <c r="T55" s="12"/>
      <c r="U55" s="43"/>
      <c r="V55" s="44"/>
      <c r="W55" s="12"/>
      <c r="X55" s="12"/>
      <c r="Y55" s="12"/>
      <c r="Z55" s="43"/>
      <c r="AA55" s="43"/>
      <c r="AB55" s="12"/>
      <c r="AC55" s="12"/>
      <c r="AD55" s="12"/>
      <c r="AE55" s="12"/>
      <c r="AF55" s="12"/>
      <c r="AG55" s="12"/>
      <c r="AH55" s="12"/>
      <c r="AI55" s="12"/>
      <c r="AJ55" s="42"/>
      <c r="AK55" s="12"/>
      <c r="AL55" s="12"/>
      <c r="AM55" s="12"/>
      <c r="AN55" s="43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45"/>
      <c r="BV55" s="25"/>
      <c r="BW55" s="25"/>
      <c r="BX55" s="25"/>
      <c r="BY55" s="25"/>
      <c r="BZ55" s="25"/>
      <c r="CA55" s="25"/>
      <c r="CB55" s="26"/>
      <c r="CC55" s="26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46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25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30"/>
      <c r="GP55" s="30"/>
      <c r="GQ55" s="12"/>
      <c r="GR55" s="30"/>
      <c r="GS55" s="12"/>
      <c r="GT55" s="12"/>
      <c r="GU55" s="25"/>
      <c r="GV55" s="12"/>
      <c r="GW55" s="12"/>
      <c r="GX55" s="30"/>
      <c r="GY55" s="30"/>
      <c r="GZ55" s="30"/>
      <c r="HA55" s="30"/>
      <c r="HB55" s="30"/>
      <c r="HC55" s="30"/>
      <c r="HD55" s="30"/>
      <c r="HE55" s="30"/>
      <c r="HF55" s="30"/>
      <c r="HG55" s="30"/>
      <c r="HH55" s="30"/>
      <c r="HI55" s="12"/>
      <c r="HJ55" s="12"/>
      <c r="HK55" s="12"/>
      <c r="HL55" s="12"/>
      <c r="HM55" s="12"/>
      <c r="HN55" s="12"/>
    </row>
    <row r="56" ht="13.5" customHeight="1">
      <c r="A56" s="12"/>
      <c r="B56" s="12"/>
      <c r="C56" s="12"/>
      <c r="D56" s="12"/>
      <c r="E56" s="42"/>
      <c r="F56" s="12"/>
      <c r="G56" s="12"/>
      <c r="H56" s="43"/>
      <c r="I56" s="12"/>
      <c r="J56" s="12"/>
      <c r="K56" s="43"/>
      <c r="L56" s="30"/>
      <c r="M56" s="25"/>
      <c r="N56" s="12"/>
      <c r="O56" s="12"/>
      <c r="P56" s="12"/>
      <c r="Q56" s="44"/>
      <c r="R56" s="12"/>
      <c r="S56" s="12"/>
      <c r="T56" s="12"/>
      <c r="U56" s="43"/>
      <c r="V56" s="44"/>
      <c r="W56" s="12"/>
      <c r="X56" s="12"/>
      <c r="Y56" s="12"/>
      <c r="Z56" s="43"/>
      <c r="AA56" s="43"/>
      <c r="AB56" s="12"/>
      <c r="AC56" s="12"/>
      <c r="AD56" s="12"/>
      <c r="AE56" s="12"/>
      <c r="AF56" s="12"/>
      <c r="AG56" s="12"/>
      <c r="AH56" s="12"/>
      <c r="AI56" s="12"/>
      <c r="AJ56" s="42"/>
      <c r="AK56" s="12"/>
      <c r="AL56" s="12"/>
      <c r="AM56" s="12"/>
      <c r="AN56" s="43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45"/>
      <c r="BV56" s="25"/>
      <c r="BW56" s="25"/>
      <c r="BX56" s="25"/>
      <c r="BY56" s="25"/>
      <c r="BZ56" s="25"/>
      <c r="CA56" s="25"/>
      <c r="CB56" s="26"/>
      <c r="CC56" s="26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46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25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30"/>
      <c r="GP56" s="30"/>
      <c r="GQ56" s="12"/>
      <c r="GR56" s="30"/>
      <c r="GS56" s="12"/>
      <c r="GT56" s="12"/>
      <c r="GU56" s="25"/>
      <c r="GV56" s="12"/>
      <c r="GW56" s="12"/>
      <c r="GX56" s="30"/>
      <c r="GY56" s="30"/>
      <c r="GZ56" s="30"/>
      <c r="HA56" s="30"/>
      <c r="HB56" s="30"/>
      <c r="HC56" s="30"/>
      <c r="HD56" s="30"/>
      <c r="HE56" s="30"/>
      <c r="HF56" s="30"/>
      <c r="HG56" s="30"/>
      <c r="HH56" s="30"/>
      <c r="HI56" s="12"/>
      <c r="HJ56" s="12"/>
      <c r="HK56" s="12"/>
      <c r="HL56" s="12"/>
      <c r="HM56" s="12"/>
      <c r="HN56" s="12"/>
    </row>
    <row r="57" ht="13.5" customHeight="1">
      <c r="A57" s="12"/>
      <c r="B57" s="12"/>
      <c r="C57" s="12"/>
      <c r="D57" s="12"/>
      <c r="E57" s="42"/>
      <c r="F57" s="12"/>
      <c r="G57" s="12"/>
      <c r="H57" s="43"/>
      <c r="I57" s="12"/>
      <c r="J57" s="12"/>
      <c r="K57" s="43"/>
      <c r="L57" s="30"/>
      <c r="M57" s="25"/>
      <c r="N57" s="12"/>
      <c r="O57" s="12"/>
      <c r="P57" s="12"/>
      <c r="Q57" s="44"/>
      <c r="R57" s="12"/>
      <c r="S57" s="12"/>
      <c r="T57" s="12"/>
      <c r="U57" s="43"/>
      <c r="V57" s="44"/>
      <c r="W57" s="12"/>
      <c r="X57" s="12"/>
      <c r="Y57" s="12"/>
      <c r="Z57" s="43"/>
      <c r="AA57" s="43"/>
      <c r="AB57" s="12"/>
      <c r="AC57" s="12"/>
      <c r="AD57" s="12"/>
      <c r="AE57" s="12"/>
      <c r="AF57" s="12"/>
      <c r="AG57" s="12"/>
      <c r="AH57" s="12"/>
      <c r="AI57" s="12"/>
      <c r="AJ57" s="42"/>
      <c r="AK57" s="12"/>
      <c r="AL57" s="12"/>
      <c r="AM57" s="12"/>
      <c r="AN57" s="43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45"/>
      <c r="BV57" s="25"/>
      <c r="BW57" s="25"/>
      <c r="BX57" s="25"/>
      <c r="BY57" s="25"/>
      <c r="BZ57" s="25"/>
      <c r="CA57" s="25"/>
      <c r="CB57" s="26"/>
      <c r="CC57" s="26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46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25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30"/>
      <c r="GP57" s="30"/>
      <c r="GQ57" s="12"/>
      <c r="GR57" s="30"/>
      <c r="GS57" s="12"/>
      <c r="GT57" s="12"/>
      <c r="GU57" s="25"/>
      <c r="GV57" s="12"/>
      <c r="GW57" s="12"/>
      <c r="GX57" s="30"/>
      <c r="GY57" s="30"/>
      <c r="GZ57" s="30"/>
      <c r="HA57" s="30"/>
      <c r="HB57" s="30"/>
      <c r="HC57" s="30"/>
      <c r="HD57" s="30"/>
      <c r="HE57" s="30"/>
      <c r="HF57" s="30"/>
      <c r="HG57" s="30"/>
      <c r="HH57" s="30"/>
      <c r="HI57" s="12"/>
      <c r="HJ57" s="12"/>
      <c r="HK57" s="12"/>
      <c r="HL57" s="12"/>
      <c r="HM57" s="12"/>
      <c r="HN57" s="12"/>
    </row>
    <row r="58" ht="13.5" customHeight="1">
      <c r="A58" s="12"/>
      <c r="B58" s="12"/>
      <c r="C58" s="12"/>
      <c r="D58" s="12"/>
      <c r="E58" s="42"/>
      <c r="F58" s="12"/>
      <c r="G58" s="12"/>
      <c r="H58" s="43"/>
      <c r="I58" s="12"/>
      <c r="J58" s="12"/>
      <c r="K58" s="43"/>
      <c r="L58" s="30"/>
      <c r="M58" s="25"/>
      <c r="N58" s="12"/>
      <c r="O58" s="12"/>
      <c r="P58" s="12"/>
      <c r="Q58" s="44"/>
      <c r="R58" s="12"/>
      <c r="S58" s="12"/>
      <c r="T58" s="12"/>
      <c r="U58" s="43"/>
      <c r="V58" s="44"/>
      <c r="W58" s="12"/>
      <c r="X58" s="12"/>
      <c r="Y58" s="12"/>
      <c r="Z58" s="43"/>
      <c r="AA58" s="43"/>
      <c r="AB58" s="12"/>
      <c r="AC58" s="12"/>
      <c r="AD58" s="12"/>
      <c r="AE58" s="12"/>
      <c r="AF58" s="12"/>
      <c r="AG58" s="12"/>
      <c r="AH58" s="12"/>
      <c r="AI58" s="12"/>
      <c r="AJ58" s="42"/>
      <c r="AK58" s="12"/>
      <c r="AL58" s="12"/>
      <c r="AM58" s="12"/>
      <c r="AN58" s="43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45"/>
      <c r="BV58" s="25"/>
      <c r="BW58" s="25"/>
      <c r="BX58" s="25"/>
      <c r="BY58" s="25"/>
      <c r="BZ58" s="25"/>
      <c r="CA58" s="25"/>
      <c r="CB58" s="26"/>
      <c r="CC58" s="26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46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25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30"/>
      <c r="GP58" s="30"/>
      <c r="GQ58" s="12"/>
      <c r="GR58" s="30"/>
      <c r="GS58" s="12"/>
      <c r="GT58" s="12"/>
      <c r="GU58" s="25"/>
      <c r="GV58" s="12"/>
      <c r="GW58" s="12"/>
      <c r="GX58" s="30"/>
      <c r="GY58" s="30"/>
      <c r="GZ58" s="30"/>
      <c r="HA58" s="30"/>
      <c r="HB58" s="30"/>
      <c r="HC58" s="30"/>
      <c r="HD58" s="30"/>
      <c r="HE58" s="30"/>
      <c r="HF58" s="30"/>
      <c r="HG58" s="30"/>
      <c r="HH58" s="30"/>
      <c r="HI58" s="12"/>
      <c r="HJ58" s="12"/>
      <c r="HK58" s="12"/>
      <c r="HL58" s="12"/>
      <c r="HM58" s="12"/>
      <c r="HN58" s="12"/>
    </row>
    <row r="59" ht="13.5" customHeight="1">
      <c r="A59" s="12"/>
      <c r="B59" s="12"/>
      <c r="C59" s="12"/>
      <c r="D59" s="12"/>
      <c r="E59" s="42"/>
      <c r="F59" s="12"/>
      <c r="G59" s="12"/>
      <c r="H59" s="43"/>
      <c r="I59" s="12"/>
      <c r="J59" s="12"/>
      <c r="K59" s="43"/>
      <c r="L59" s="30"/>
      <c r="M59" s="25"/>
      <c r="N59" s="12"/>
      <c r="O59" s="12"/>
      <c r="P59" s="12"/>
      <c r="Q59" s="44"/>
      <c r="R59" s="12"/>
      <c r="S59" s="12"/>
      <c r="T59" s="12"/>
      <c r="U59" s="43"/>
      <c r="V59" s="44"/>
      <c r="W59" s="12"/>
      <c r="X59" s="12"/>
      <c r="Y59" s="12"/>
      <c r="Z59" s="43"/>
      <c r="AA59" s="43"/>
      <c r="AB59" s="12"/>
      <c r="AC59" s="12"/>
      <c r="AD59" s="12"/>
      <c r="AE59" s="12"/>
      <c r="AF59" s="12"/>
      <c r="AG59" s="12"/>
      <c r="AH59" s="12"/>
      <c r="AI59" s="12"/>
      <c r="AJ59" s="42"/>
      <c r="AK59" s="12"/>
      <c r="AL59" s="12"/>
      <c r="AM59" s="12"/>
      <c r="AN59" s="43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45"/>
      <c r="BV59" s="25"/>
      <c r="BW59" s="25"/>
      <c r="BX59" s="25"/>
      <c r="BY59" s="25"/>
      <c r="BZ59" s="25"/>
      <c r="CA59" s="25"/>
      <c r="CB59" s="26"/>
      <c r="CC59" s="26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46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25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30"/>
      <c r="GP59" s="30"/>
      <c r="GQ59" s="12"/>
      <c r="GR59" s="30"/>
      <c r="GS59" s="12"/>
      <c r="GT59" s="12"/>
      <c r="GU59" s="25"/>
      <c r="GV59" s="12"/>
      <c r="GW59" s="12"/>
      <c r="GX59" s="30"/>
      <c r="GY59" s="30"/>
      <c r="GZ59" s="30"/>
      <c r="HA59" s="30"/>
      <c r="HB59" s="30"/>
      <c r="HC59" s="30"/>
      <c r="HD59" s="30"/>
      <c r="HE59" s="30"/>
      <c r="HF59" s="30"/>
      <c r="HG59" s="30"/>
      <c r="HH59" s="30"/>
      <c r="HI59" s="12"/>
      <c r="HJ59" s="12"/>
      <c r="HK59" s="12"/>
      <c r="HL59" s="12"/>
      <c r="HM59" s="12"/>
      <c r="HN59" s="12"/>
    </row>
    <row r="60" ht="13.5" customHeight="1">
      <c r="A60" s="12"/>
      <c r="B60" s="12"/>
      <c r="C60" s="12"/>
      <c r="D60" s="12"/>
      <c r="E60" s="42"/>
      <c r="F60" s="12"/>
      <c r="G60" s="12"/>
      <c r="H60" s="43"/>
      <c r="I60" s="12"/>
      <c r="J60" s="12"/>
      <c r="K60" s="43"/>
      <c r="L60" s="30"/>
      <c r="M60" s="25"/>
      <c r="N60" s="12"/>
      <c r="O60" s="12"/>
      <c r="P60" s="12"/>
      <c r="Q60" s="44"/>
      <c r="R60" s="12"/>
      <c r="S60" s="12"/>
      <c r="T60" s="12"/>
      <c r="U60" s="43"/>
      <c r="V60" s="44"/>
      <c r="W60" s="12"/>
      <c r="X60" s="12"/>
      <c r="Y60" s="12"/>
      <c r="Z60" s="43"/>
      <c r="AA60" s="43"/>
      <c r="AB60" s="12"/>
      <c r="AC60" s="12"/>
      <c r="AD60" s="12"/>
      <c r="AE60" s="12"/>
      <c r="AF60" s="12"/>
      <c r="AG60" s="12"/>
      <c r="AH60" s="12"/>
      <c r="AI60" s="12"/>
      <c r="AJ60" s="42"/>
      <c r="AK60" s="12"/>
      <c r="AL60" s="12"/>
      <c r="AM60" s="12"/>
      <c r="AN60" s="43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45"/>
      <c r="BV60" s="25"/>
      <c r="BW60" s="25"/>
      <c r="BX60" s="25"/>
      <c r="BY60" s="25"/>
      <c r="BZ60" s="25"/>
      <c r="CA60" s="25"/>
      <c r="CB60" s="26"/>
      <c r="CC60" s="26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46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25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30"/>
      <c r="GP60" s="30"/>
      <c r="GQ60" s="12"/>
      <c r="GR60" s="30"/>
      <c r="GS60" s="12"/>
      <c r="GT60" s="12"/>
      <c r="GU60" s="25"/>
      <c r="GV60" s="12"/>
      <c r="GW60" s="12"/>
      <c r="GX60" s="30"/>
      <c r="GY60" s="30"/>
      <c r="GZ60" s="30"/>
      <c r="HA60" s="30"/>
      <c r="HB60" s="30"/>
      <c r="HC60" s="30"/>
      <c r="HD60" s="30"/>
      <c r="HE60" s="30"/>
      <c r="HF60" s="30"/>
      <c r="HG60" s="30"/>
      <c r="HH60" s="30"/>
      <c r="HI60" s="12"/>
      <c r="HJ60" s="12"/>
      <c r="HK60" s="12"/>
      <c r="HL60" s="12"/>
      <c r="HM60" s="12"/>
      <c r="HN60" s="12"/>
    </row>
    <row r="61" ht="13.5" customHeight="1">
      <c r="A61" s="12"/>
      <c r="B61" s="12"/>
      <c r="C61" s="12"/>
      <c r="D61" s="12"/>
      <c r="E61" s="42"/>
      <c r="F61" s="12"/>
      <c r="G61" s="12"/>
      <c r="H61" s="43"/>
      <c r="I61" s="12"/>
      <c r="J61" s="12"/>
      <c r="K61" s="43"/>
      <c r="L61" s="30"/>
      <c r="M61" s="25"/>
      <c r="N61" s="12"/>
      <c r="O61" s="12"/>
      <c r="P61" s="12"/>
      <c r="Q61" s="44"/>
      <c r="R61" s="12"/>
      <c r="S61" s="12"/>
      <c r="T61" s="12"/>
      <c r="U61" s="43"/>
      <c r="V61" s="44"/>
      <c r="W61" s="12"/>
      <c r="X61" s="12"/>
      <c r="Y61" s="12"/>
      <c r="Z61" s="43"/>
      <c r="AA61" s="43"/>
      <c r="AB61" s="12"/>
      <c r="AC61" s="12"/>
      <c r="AD61" s="12"/>
      <c r="AE61" s="12"/>
      <c r="AF61" s="12"/>
      <c r="AG61" s="12"/>
      <c r="AH61" s="12"/>
      <c r="AI61" s="12"/>
      <c r="AJ61" s="42"/>
      <c r="AK61" s="12"/>
      <c r="AL61" s="12"/>
      <c r="AM61" s="12"/>
      <c r="AN61" s="43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45"/>
      <c r="BV61" s="25"/>
      <c r="BW61" s="25"/>
      <c r="BX61" s="25"/>
      <c r="BY61" s="25"/>
      <c r="BZ61" s="25"/>
      <c r="CA61" s="25"/>
      <c r="CB61" s="26"/>
      <c r="CC61" s="26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46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25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30"/>
      <c r="GP61" s="30"/>
      <c r="GQ61" s="12"/>
      <c r="GR61" s="30"/>
      <c r="GS61" s="12"/>
      <c r="GT61" s="12"/>
      <c r="GU61" s="25"/>
      <c r="GV61" s="12"/>
      <c r="GW61" s="12"/>
      <c r="GX61" s="30"/>
      <c r="GY61" s="30"/>
      <c r="GZ61" s="30"/>
      <c r="HA61" s="30"/>
      <c r="HB61" s="30"/>
      <c r="HC61" s="30"/>
      <c r="HD61" s="30"/>
      <c r="HE61" s="30"/>
      <c r="HF61" s="30"/>
      <c r="HG61" s="30"/>
      <c r="HH61" s="30"/>
      <c r="HI61" s="12"/>
      <c r="HJ61" s="12"/>
      <c r="HK61" s="12"/>
      <c r="HL61" s="12"/>
      <c r="HM61" s="12"/>
      <c r="HN61" s="12"/>
    </row>
    <row r="62" ht="13.5" customHeight="1">
      <c r="A62" s="12"/>
      <c r="B62" s="12"/>
      <c r="C62" s="12"/>
      <c r="D62" s="12"/>
      <c r="E62" s="42"/>
      <c r="F62" s="12"/>
      <c r="G62" s="12"/>
      <c r="H62" s="43"/>
      <c r="I62" s="12"/>
      <c r="J62" s="12"/>
      <c r="K62" s="43"/>
      <c r="L62" s="30"/>
      <c r="M62" s="25"/>
      <c r="N62" s="12"/>
      <c r="O62" s="12"/>
      <c r="P62" s="12"/>
      <c r="Q62" s="44"/>
      <c r="R62" s="12"/>
      <c r="S62" s="12"/>
      <c r="T62" s="12"/>
      <c r="U62" s="43"/>
      <c r="V62" s="44"/>
      <c r="W62" s="12"/>
      <c r="X62" s="12"/>
      <c r="Y62" s="12"/>
      <c r="Z62" s="43"/>
      <c r="AA62" s="43"/>
      <c r="AB62" s="12"/>
      <c r="AC62" s="12"/>
      <c r="AD62" s="12"/>
      <c r="AE62" s="12"/>
      <c r="AF62" s="12"/>
      <c r="AG62" s="12"/>
      <c r="AH62" s="12"/>
      <c r="AI62" s="12"/>
      <c r="AJ62" s="42"/>
      <c r="AK62" s="12"/>
      <c r="AL62" s="12"/>
      <c r="AM62" s="12"/>
      <c r="AN62" s="43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45"/>
      <c r="BV62" s="25"/>
      <c r="BW62" s="25"/>
      <c r="BX62" s="25"/>
      <c r="BY62" s="25"/>
      <c r="BZ62" s="25"/>
      <c r="CA62" s="25"/>
      <c r="CB62" s="26"/>
      <c r="CC62" s="26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46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25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30"/>
      <c r="GP62" s="30"/>
      <c r="GQ62" s="12"/>
      <c r="GR62" s="30"/>
      <c r="GS62" s="12"/>
      <c r="GT62" s="12"/>
      <c r="GU62" s="25"/>
      <c r="GV62" s="12"/>
      <c r="GW62" s="12"/>
      <c r="GX62" s="30"/>
      <c r="GY62" s="30"/>
      <c r="GZ62" s="30"/>
      <c r="HA62" s="30"/>
      <c r="HB62" s="30"/>
      <c r="HC62" s="30"/>
      <c r="HD62" s="30"/>
      <c r="HE62" s="30"/>
      <c r="HF62" s="30"/>
      <c r="HG62" s="30"/>
      <c r="HH62" s="30"/>
      <c r="HI62" s="12"/>
      <c r="HJ62" s="12"/>
      <c r="HK62" s="12"/>
      <c r="HL62" s="12"/>
      <c r="HM62" s="12"/>
      <c r="HN62" s="12"/>
    </row>
    <row r="63" ht="13.5" customHeight="1">
      <c r="A63" s="12"/>
      <c r="B63" s="12"/>
      <c r="C63" s="12"/>
      <c r="D63" s="12"/>
      <c r="E63" s="42"/>
      <c r="F63" s="12"/>
      <c r="G63" s="12"/>
      <c r="H63" s="43"/>
      <c r="I63" s="12"/>
      <c r="J63" s="12"/>
      <c r="K63" s="43"/>
      <c r="L63" s="30"/>
      <c r="M63" s="25"/>
      <c r="N63" s="12"/>
      <c r="O63" s="12"/>
      <c r="P63" s="12"/>
      <c r="Q63" s="44"/>
      <c r="R63" s="12"/>
      <c r="S63" s="12"/>
      <c r="T63" s="12"/>
      <c r="U63" s="43"/>
      <c r="V63" s="44"/>
      <c r="W63" s="12"/>
      <c r="X63" s="12"/>
      <c r="Y63" s="12"/>
      <c r="Z63" s="43"/>
      <c r="AA63" s="43"/>
      <c r="AB63" s="12"/>
      <c r="AC63" s="12"/>
      <c r="AD63" s="12"/>
      <c r="AE63" s="12"/>
      <c r="AF63" s="12"/>
      <c r="AG63" s="12"/>
      <c r="AH63" s="12"/>
      <c r="AI63" s="12"/>
      <c r="AJ63" s="42"/>
      <c r="AK63" s="12"/>
      <c r="AL63" s="12"/>
      <c r="AM63" s="12"/>
      <c r="AN63" s="43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45"/>
      <c r="BV63" s="25"/>
      <c r="BW63" s="25"/>
      <c r="BX63" s="25"/>
      <c r="BY63" s="25"/>
      <c r="BZ63" s="25"/>
      <c r="CA63" s="25"/>
      <c r="CB63" s="26"/>
      <c r="CC63" s="26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46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25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30"/>
      <c r="GP63" s="30"/>
      <c r="GQ63" s="12"/>
      <c r="GR63" s="30"/>
      <c r="GS63" s="12"/>
      <c r="GT63" s="12"/>
      <c r="GU63" s="25"/>
      <c r="GV63" s="12"/>
      <c r="GW63" s="12"/>
      <c r="GX63" s="30"/>
      <c r="GY63" s="30"/>
      <c r="GZ63" s="30"/>
      <c r="HA63" s="30"/>
      <c r="HB63" s="30"/>
      <c r="HC63" s="30"/>
      <c r="HD63" s="30"/>
      <c r="HE63" s="30"/>
      <c r="HF63" s="30"/>
      <c r="HG63" s="30"/>
      <c r="HH63" s="30"/>
      <c r="HI63" s="12"/>
      <c r="HJ63" s="12"/>
      <c r="HK63" s="12"/>
      <c r="HL63" s="12"/>
      <c r="HM63" s="12"/>
      <c r="HN63" s="12"/>
    </row>
    <row r="64" ht="13.5" customHeight="1">
      <c r="A64" s="12"/>
      <c r="B64" s="12"/>
      <c r="C64" s="12"/>
      <c r="D64" s="12"/>
      <c r="E64" s="42"/>
      <c r="F64" s="12"/>
      <c r="G64" s="12"/>
      <c r="H64" s="43"/>
      <c r="I64" s="12"/>
      <c r="J64" s="12"/>
      <c r="K64" s="43"/>
      <c r="L64" s="30"/>
      <c r="M64" s="25"/>
      <c r="N64" s="12"/>
      <c r="O64" s="12"/>
      <c r="P64" s="12"/>
      <c r="Q64" s="44"/>
      <c r="R64" s="12"/>
      <c r="S64" s="12"/>
      <c r="T64" s="12"/>
      <c r="U64" s="43"/>
      <c r="V64" s="44"/>
      <c r="W64" s="12"/>
      <c r="X64" s="12"/>
      <c r="Y64" s="12"/>
      <c r="Z64" s="43"/>
      <c r="AA64" s="43"/>
      <c r="AB64" s="12"/>
      <c r="AC64" s="12"/>
      <c r="AD64" s="12"/>
      <c r="AE64" s="12"/>
      <c r="AF64" s="12"/>
      <c r="AG64" s="12"/>
      <c r="AH64" s="12"/>
      <c r="AI64" s="12"/>
      <c r="AJ64" s="42"/>
      <c r="AK64" s="12"/>
      <c r="AL64" s="12"/>
      <c r="AM64" s="12"/>
      <c r="AN64" s="43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45"/>
      <c r="BV64" s="25"/>
      <c r="BW64" s="25"/>
      <c r="BX64" s="25"/>
      <c r="BY64" s="25"/>
      <c r="BZ64" s="25"/>
      <c r="CA64" s="25"/>
      <c r="CB64" s="26"/>
      <c r="CC64" s="26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46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25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30"/>
      <c r="GP64" s="30"/>
      <c r="GQ64" s="12"/>
      <c r="GR64" s="30"/>
      <c r="GS64" s="12"/>
      <c r="GT64" s="12"/>
      <c r="GU64" s="25"/>
      <c r="GV64" s="12"/>
      <c r="GW64" s="12"/>
      <c r="GX64" s="30"/>
      <c r="GY64" s="30"/>
      <c r="GZ64" s="30"/>
      <c r="HA64" s="30"/>
      <c r="HB64" s="30"/>
      <c r="HC64" s="30"/>
      <c r="HD64" s="30"/>
      <c r="HE64" s="30"/>
      <c r="HF64" s="30"/>
      <c r="HG64" s="30"/>
      <c r="HH64" s="30"/>
      <c r="HI64" s="12"/>
      <c r="HJ64" s="12"/>
      <c r="HK64" s="12"/>
      <c r="HL64" s="12"/>
      <c r="HM64" s="12"/>
      <c r="HN64" s="12"/>
    </row>
    <row r="65" ht="13.5" customHeight="1">
      <c r="A65" s="12"/>
      <c r="B65" s="12"/>
      <c r="C65" s="12"/>
      <c r="D65" s="12"/>
      <c r="E65" s="42"/>
      <c r="F65" s="12"/>
      <c r="G65" s="12"/>
      <c r="H65" s="43"/>
      <c r="I65" s="12"/>
      <c r="J65" s="12"/>
      <c r="K65" s="43"/>
      <c r="L65" s="30"/>
      <c r="M65" s="25"/>
      <c r="N65" s="12"/>
      <c r="O65" s="12"/>
      <c r="P65" s="12"/>
      <c r="Q65" s="44"/>
      <c r="R65" s="12"/>
      <c r="S65" s="12"/>
      <c r="T65" s="12"/>
      <c r="U65" s="43"/>
      <c r="V65" s="44"/>
      <c r="W65" s="12"/>
      <c r="X65" s="12"/>
      <c r="Y65" s="12"/>
      <c r="Z65" s="43"/>
      <c r="AA65" s="43"/>
      <c r="AB65" s="12"/>
      <c r="AC65" s="12"/>
      <c r="AD65" s="12"/>
      <c r="AE65" s="12"/>
      <c r="AF65" s="12"/>
      <c r="AG65" s="12"/>
      <c r="AH65" s="12"/>
      <c r="AI65" s="12"/>
      <c r="AJ65" s="42"/>
      <c r="AK65" s="12"/>
      <c r="AL65" s="12"/>
      <c r="AM65" s="12"/>
      <c r="AN65" s="43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45"/>
      <c r="BV65" s="25"/>
      <c r="BW65" s="25"/>
      <c r="BX65" s="25"/>
      <c r="BY65" s="25"/>
      <c r="BZ65" s="25"/>
      <c r="CA65" s="25"/>
      <c r="CB65" s="26"/>
      <c r="CC65" s="26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46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25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30"/>
      <c r="GP65" s="30"/>
      <c r="GQ65" s="12"/>
      <c r="GR65" s="30"/>
      <c r="GS65" s="12"/>
      <c r="GT65" s="12"/>
      <c r="GU65" s="25"/>
      <c r="GV65" s="12"/>
      <c r="GW65" s="12"/>
      <c r="GX65" s="30"/>
      <c r="GY65" s="30"/>
      <c r="GZ65" s="30"/>
      <c r="HA65" s="30"/>
      <c r="HB65" s="30"/>
      <c r="HC65" s="30"/>
      <c r="HD65" s="30"/>
      <c r="HE65" s="30"/>
      <c r="HF65" s="30"/>
      <c r="HG65" s="30"/>
      <c r="HH65" s="30"/>
      <c r="HI65" s="12"/>
      <c r="HJ65" s="12"/>
      <c r="HK65" s="12"/>
      <c r="HL65" s="12"/>
      <c r="HM65" s="12"/>
      <c r="HN65" s="12"/>
    </row>
    <row r="66" ht="13.5" customHeight="1">
      <c r="A66" s="12"/>
      <c r="B66" s="12"/>
      <c r="C66" s="12"/>
      <c r="D66" s="12"/>
      <c r="E66" s="42"/>
      <c r="F66" s="12"/>
      <c r="G66" s="12"/>
      <c r="H66" s="43"/>
      <c r="I66" s="12"/>
      <c r="J66" s="12"/>
      <c r="K66" s="43"/>
      <c r="L66" s="30"/>
      <c r="M66" s="25"/>
      <c r="N66" s="12"/>
      <c r="O66" s="12"/>
      <c r="P66" s="12"/>
      <c r="Q66" s="44"/>
      <c r="R66" s="12"/>
      <c r="S66" s="12"/>
      <c r="T66" s="12"/>
      <c r="U66" s="43"/>
      <c r="V66" s="44"/>
      <c r="W66" s="12"/>
      <c r="X66" s="12"/>
      <c r="Y66" s="12"/>
      <c r="Z66" s="43"/>
      <c r="AA66" s="43"/>
      <c r="AB66" s="12"/>
      <c r="AC66" s="12"/>
      <c r="AD66" s="12"/>
      <c r="AE66" s="12"/>
      <c r="AF66" s="12"/>
      <c r="AG66" s="12"/>
      <c r="AH66" s="12"/>
      <c r="AI66" s="12"/>
      <c r="AJ66" s="42"/>
      <c r="AK66" s="12"/>
      <c r="AL66" s="12"/>
      <c r="AM66" s="12"/>
      <c r="AN66" s="43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45"/>
      <c r="BV66" s="25"/>
      <c r="BW66" s="25"/>
      <c r="BX66" s="25"/>
      <c r="BY66" s="25"/>
      <c r="BZ66" s="25"/>
      <c r="CA66" s="25"/>
      <c r="CB66" s="26"/>
      <c r="CC66" s="26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46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25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30"/>
      <c r="GP66" s="30"/>
      <c r="GQ66" s="12"/>
      <c r="GR66" s="30"/>
      <c r="GS66" s="12"/>
      <c r="GT66" s="12"/>
      <c r="GU66" s="25"/>
      <c r="GV66" s="12"/>
      <c r="GW66" s="12"/>
      <c r="GX66" s="30"/>
      <c r="GY66" s="30"/>
      <c r="GZ66" s="30"/>
      <c r="HA66" s="30"/>
      <c r="HB66" s="30"/>
      <c r="HC66" s="30"/>
      <c r="HD66" s="30"/>
      <c r="HE66" s="30"/>
      <c r="HF66" s="30"/>
      <c r="HG66" s="30"/>
      <c r="HH66" s="30"/>
      <c r="HI66" s="12"/>
      <c r="HJ66" s="12"/>
      <c r="HK66" s="12"/>
      <c r="HL66" s="12"/>
      <c r="HM66" s="12"/>
      <c r="HN66" s="12"/>
    </row>
    <row r="67" ht="13.5" customHeight="1">
      <c r="A67" s="12"/>
      <c r="B67" s="12"/>
      <c r="C67" s="12"/>
      <c r="D67" s="12"/>
      <c r="E67" s="42"/>
      <c r="F67" s="12"/>
      <c r="G67" s="12"/>
      <c r="H67" s="43"/>
      <c r="I67" s="12"/>
      <c r="J67" s="12"/>
      <c r="K67" s="43"/>
      <c r="L67" s="30"/>
      <c r="M67" s="25"/>
      <c r="N67" s="12"/>
      <c r="O67" s="12"/>
      <c r="P67" s="12"/>
      <c r="Q67" s="44"/>
      <c r="R67" s="12"/>
      <c r="S67" s="12"/>
      <c r="T67" s="12"/>
      <c r="U67" s="43"/>
      <c r="V67" s="44"/>
      <c r="W67" s="12"/>
      <c r="X67" s="12"/>
      <c r="Y67" s="12"/>
      <c r="Z67" s="43"/>
      <c r="AA67" s="43"/>
      <c r="AB67" s="12"/>
      <c r="AC67" s="12"/>
      <c r="AD67" s="12"/>
      <c r="AE67" s="12"/>
      <c r="AF67" s="12"/>
      <c r="AG67" s="12"/>
      <c r="AH67" s="12"/>
      <c r="AI67" s="12"/>
      <c r="AJ67" s="42"/>
      <c r="AK67" s="12"/>
      <c r="AL67" s="12"/>
      <c r="AM67" s="12"/>
      <c r="AN67" s="43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45"/>
      <c r="BV67" s="25"/>
      <c r="BW67" s="25"/>
      <c r="BX67" s="25"/>
      <c r="BY67" s="25"/>
      <c r="BZ67" s="25"/>
      <c r="CA67" s="25"/>
      <c r="CB67" s="26"/>
      <c r="CC67" s="26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46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25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30"/>
      <c r="GP67" s="30"/>
      <c r="GQ67" s="12"/>
      <c r="GR67" s="30"/>
      <c r="GS67" s="12"/>
      <c r="GT67" s="12"/>
      <c r="GU67" s="25"/>
      <c r="GV67" s="12"/>
      <c r="GW67" s="12"/>
      <c r="GX67" s="30"/>
      <c r="GY67" s="30"/>
      <c r="GZ67" s="30"/>
      <c r="HA67" s="30"/>
      <c r="HB67" s="30"/>
      <c r="HC67" s="30"/>
      <c r="HD67" s="30"/>
      <c r="HE67" s="30"/>
      <c r="HF67" s="30"/>
      <c r="HG67" s="30"/>
      <c r="HH67" s="30"/>
      <c r="HI67" s="12"/>
      <c r="HJ67" s="12"/>
      <c r="HK67" s="12"/>
      <c r="HL67" s="12"/>
      <c r="HM67" s="12"/>
      <c r="HN67" s="12"/>
    </row>
    <row r="68" ht="13.5" customHeight="1">
      <c r="A68" s="12"/>
      <c r="B68" s="12"/>
      <c r="C68" s="12"/>
      <c r="D68" s="12"/>
      <c r="E68" s="42"/>
      <c r="F68" s="12"/>
      <c r="G68" s="12"/>
      <c r="H68" s="43"/>
      <c r="I68" s="12"/>
      <c r="J68" s="12"/>
      <c r="K68" s="43"/>
      <c r="L68" s="30"/>
      <c r="M68" s="25"/>
      <c r="N68" s="12"/>
      <c r="O68" s="12"/>
      <c r="P68" s="12"/>
      <c r="Q68" s="44"/>
      <c r="R68" s="12"/>
      <c r="S68" s="12"/>
      <c r="T68" s="12"/>
      <c r="U68" s="43"/>
      <c r="V68" s="44"/>
      <c r="W68" s="12"/>
      <c r="X68" s="12"/>
      <c r="Y68" s="12"/>
      <c r="Z68" s="43"/>
      <c r="AA68" s="43"/>
      <c r="AB68" s="12"/>
      <c r="AC68" s="12"/>
      <c r="AD68" s="12"/>
      <c r="AE68" s="12"/>
      <c r="AF68" s="12"/>
      <c r="AG68" s="12"/>
      <c r="AH68" s="12"/>
      <c r="AI68" s="12"/>
      <c r="AJ68" s="42"/>
      <c r="AK68" s="12"/>
      <c r="AL68" s="12"/>
      <c r="AM68" s="12"/>
      <c r="AN68" s="43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45"/>
      <c r="BV68" s="25"/>
      <c r="BW68" s="25"/>
      <c r="BX68" s="25"/>
      <c r="BY68" s="25"/>
      <c r="BZ68" s="25"/>
      <c r="CA68" s="25"/>
      <c r="CB68" s="26"/>
      <c r="CC68" s="26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46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25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30"/>
      <c r="GP68" s="30"/>
      <c r="GQ68" s="12"/>
      <c r="GR68" s="30"/>
      <c r="GS68" s="12"/>
      <c r="GT68" s="12"/>
      <c r="GU68" s="25"/>
      <c r="GV68" s="12"/>
      <c r="GW68" s="12"/>
      <c r="GX68" s="30"/>
      <c r="GY68" s="30"/>
      <c r="GZ68" s="30"/>
      <c r="HA68" s="30"/>
      <c r="HB68" s="30"/>
      <c r="HC68" s="30"/>
      <c r="HD68" s="30"/>
      <c r="HE68" s="30"/>
      <c r="HF68" s="30"/>
      <c r="HG68" s="30"/>
      <c r="HH68" s="30"/>
      <c r="HI68" s="12"/>
      <c r="HJ68" s="12"/>
      <c r="HK68" s="12"/>
      <c r="HL68" s="12"/>
      <c r="HM68" s="12"/>
      <c r="HN68" s="12"/>
    </row>
    <row r="69" ht="13.5" customHeight="1">
      <c r="A69" s="12"/>
      <c r="B69" s="12"/>
      <c r="C69" s="12"/>
      <c r="D69" s="12"/>
      <c r="E69" s="42"/>
      <c r="F69" s="12"/>
      <c r="G69" s="12"/>
      <c r="H69" s="43"/>
      <c r="I69" s="12"/>
      <c r="J69" s="12"/>
      <c r="K69" s="43"/>
      <c r="L69" s="30"/>
      <c r="M69" s="25"/>
      <c r="N69" s="12"/>
      <c r="O69" s="12"/>
      <c r="P69" s="12"/>
      <c r="Q69" s="44"/>
      <c r="R69" s="12"/>
      <c r="S69" s="12"/>
      <c r="T69" s="12"/>
      <c r="U69" s="43"/>
      <c r="V69" s="44"/>
      <c r="W69" s="12"/>
      <c r="X69" s="12"/>
      <c r="Y69" s="12"/>
      <c r="Z69" s="43"/>
      <c r="AA69" s="43"/>
      <c r="AB69" s="12"/>
      <c r="AC69" s="12"/>
      <c r="AD69" s="12"/>
      <c r="AE69" s="12"/>
      <c r="AF69" s="12"/>
      <c r="AG69" s="12"/>
      <c r="AH69" s="12"/>
      <c r="AI69" s="12"/>
      <c r="AJ69" s="42"/>
      <c r="AK69" s="12"/>
      <c r="AL69" s="12"/>
      <c r="AM69" s="12"/>
      <c r="AN69" s="43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45"/>
      <c r="BV69" s="25"/>
      <c r="BW69" s="25"/>
      <c r="BX69" s="25"/>
      <c r="BY69" s="25"/>
      <c r="BZ69" s="25"/>
      <c r="CA69" s="25"/>
      <c r="CB69" s="26"/>
      <c r="CC69" s="26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46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25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30"/>
      <c r="GP69" s="30"/>
      <c r="GQ69" s="12"/>
      <c r="GR69" s="30"/>
      <c r="GS69" s="12"/>
      <c r="GT69" s="12"/>
      <c r="GU69" s="25"/>
      <c r="GV69" s="12"/>
      <c r="GW69" s="12"/>
      <c r="GX69" s="30"/>
      <c r="GY69" s="30"/>
      <c r="GZ69" s="30"/>
      <c r="HA69" s="30"/>
      <c r="HB69" s="30"/>
      <c r="HC69" s="30"/>
      <c r="HD69" s="30"/>
      <c r="HE69" s="30"/>
      <c r="HF69" s="30"/>
      <c r="HG69" s="30"/>
      <c r="HH69" s="30"/>
      <c r="HI69" s="12"/>
      <c r="HJ69" s="12"/>
      <c r="HK69" s="12"/>
      <c r="HL69" s="12"/>
      <c r="HM69" s="12"/>
      <c r="HN69" s="12"/>
    </row>
    <row r="70" ht="13.5" customHeight="1">
      <c r="A70" s="12"/>
      <c r="B70" s="12"/>
      <c r="C70" s="12"/>
      <c r="D70" s="12"/>
      <c r="E70" s="42"/>
      <c r="F70" s="12"/>
      <c r="G70" s="12"/>
      <c r="H70" s="43"/>
      <c r="I70" s="12"/>
      <c r="J70" s="12"/>
      <c r="K70" s="43"/>
      <c r="L70" s="30"/>
      <c r="M70" s="25"/>
      <c r="N70" s="12"/>
      <c r="O70" s="12"/>
      <c r="P70" s="12"/>
      <c r="Q70" s="44"/>
      <c r="R70" s="12"/>
      <c r="S70" s="12"/>
      <c r="T70" s="12"/>
      <c r="U70" s="43"/>
      <c r="V70" s="44"/>
      <c r="W70" s="12"/>
      <c r="X70" s="12"/>
      <c r="Y70" s="12"/>
      <c r="Z70" s="43"/>
      <c r="AA70" s="43"/>
      <c r="AB70" s="12"/>
      <c r="AC70" s="12"/>
      <c r="AD70" s="12"/>
      <c r="AE70" s="12"/>
      <c r="AF70" s="12"/>
      <c r="AG70" s="12"/>
      <c r="AH70" s="12"/>
      <c r="AI70" s="12"/>
      <c r="AJ70" s="42"/>
      <c r="AK70" s="12"/>
      <c r="AL70" s="12"/>
      <c r="AM70" s="12"/>
      <c r="AN70" s="43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45"/>
      <c r="BV70" s="25"/>
      <c r="BW70" s="25"/>
      <c r="BX70" s="25"/>
      <c r="BY70" s="25"/>
      <c r="BZ70" s="25"/>
      <c r="CA70" s="25"/>
      <c r="CB70" s="26"/>
      <c r="CC70" s="26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46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25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30"/>
      <c r="GP70" s="30"/>
      <c r="GQ70" s="12"/>
      <c r="GR70" s="30"/>
      <c r="GS70" s="12"/>
      <c r="GT70" s="12"/>
      <c r="GU70" s="25"/>
      <c r="GV70" s="12"/>
      <c r="GW70" s="12"/>
      <c r="GX70" s="30"/>
      <c r="GY70" s="30"/>
      <c r="GZ70" s="30"/>
      <c r="HA70" s="30"/>
      <c r="HB70" s="30"/>
      <c r="HC70" s="30"/>
      <c r="HD70" s="30"/>
      <c r="HE70" s="30"/>
      <c r="HF70" s="30"/>
      <c r="HG70" s="30"/>
      <c r="HH70" s="30"/>
      <c r="HI70" s="12"/>
      <c r="HJ70" s="12"/>
      <c r="HK70" s="12"/>
      <c r="HL70" s="12"/>
      <c r="HM70" s="12"/>
      <c r="HN70" s="12"/>
    </row>
    <row r="71" ht="13.5" customHeight="1">
      <c r="A71" s="12"/>
      <c r="B71" s="12"/>
      <c r="C71" s="12"/>
      <c r="D71" s="12"/>
      <c r="E71" s="42"/>
      <c r="F71" s="12"/>
      <c r="G71" s="12"/>
      <c r="H71" s="43"/>
      <c r="I71" s="12"/>
      <c r="J71" s="12"/>
      <c r="K71" s="43"/>
      <c r="L71" s="30"/>
      <c r="M71" s="25"/>
      <c r="N71" s="12"/>
      <c r="O71" s="12"/>
      <c r="P71" s="12"/>
      <c r="Q71" s="44"/>
      <c r="R71" s="12"/>
      <c r="S71" s="12"/>
      <c r="T71" s="12"/>
      <c r="U71" s="43"/>
      <c r="V71" s="44"/>
      <c r="W71" s="12"/>
      <c r="X71" s="12"/>
      <c r="Y71" s="12"/>
      <c r="Z71" s="43"/>
      <c r="AA71" s="43"/>
      <c r="AB71" s="12"/>
      <c r="AC71" s="12"/>
      <c r="AD71" s="12"/>
      <c r="AE71" s="12"/>
      <c r="AF71" s="12"/>
      <c r="AG71" s="12"/>
      <c r="AH71" s="12"/>
      <c r="AI71" s="12"/>
      <c r="AJ71" s="42"/>
      <c r="AK71" s="12"/>
      <c r="AL71" s="12"/>
      <c r="AM71" s="12"/>
      <c r="AN71" s="43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45"/>
      <c r="BV71" s="25"/>
      <c r="BW71" s="25"/>
      <c r="BX71" s="25"/>
      <c r="BY71" s="25"/>
      <c r="BZ71" s="25"/>
      <c r="CA71" s="25"/>
      <c r="CB71" s="26"/>
      <c r="CC71" s="26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46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25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30"/>
      <c r="GP71" s="30"/>
      <c r="GQ71" s="12"/>
      <c r="GR71" s="30"/>
      <c r="GS71" s="12"/>
      <c r="GT71" s="12"/>
      <c r="GU71" s="25"/>
      <c r="GV71" s="12"/>
      <c r="GW71" s="12"/>
      <c r="GX71" s="30"/>
      <c r="GY71" s="30"/>
      <c r="GZ71" s="30"/>
      <c r="HA71" s="30"/>
      <c r="HB71" s="30"/>
      <c r="HC71" s="30"/>
      <c r="HD71" s="30"/>
      <c r="HE71" s="30"/>
      <c r="HF71" s="30"/>
      <c r="HG71" s="30"/>
      <c r="HH71" s="30"/>
      <c r="HI71" s="12"/>
      <c r="HJ71" s="12"/>
      <c r="HK71" s="12"/>
      <c r="HL71" s="12"/>
      <c r="HM71" s="12"/>
      <c r="HN71" s="12"/>
    </row>
    <row r="72" ht="13.5" customHeight="1">
      <c r="A72" s="12"/>
      <c r="B72" s="12"/>
      <c r="C72" s="12"/>
      <c r="D72" s="12"/>
      <c r="E72" s="42"/>
      <c r="F72" s="12"/>
      <c r="G72" s="12"/>
      <c r="H72" s="43"/>
      <c r="I72" s="12"/>
      <c r="J72" s="12"/>
      <c r="K72" s="43"/>
      <c r="L72" s="30"/>
      <c r="M72" s="25"/>
      <c r="N72" s="12"/>
      <c r="O72" s="12"/>
      <c r="P72" s="12"/>
      <c r="Q72" s="44"/>
      <c r="R72" s="12"/>
      <c r="S72" s="12"/>
      <c r="T72" s="12"/>
      <c r="U72" s="43"/>
      <c r="V72" s="44"/>
      <c r="W72" s="12"/>
      <c r="X72" s="12"/>
      <c r="Y72" s="12"/>
      <c r="Z72" s="43"/>
      <c r="AA72" s="43"/>
      <c r="AB72" s="12"/>
      <c r="AC72" s="12"/>
      <c r="AD72" s="12"/>
      <c r="AE72" s="12"/>
      <c r="AF72" s="12"/>
      <c r="AG72" s="12"/>
      <c r="AH72" s="12"/>
      <c r="AI72" s="12"/>
      <c r="AJ72" s="42"/>
      <c r="AK72" s="12"/>
      <c r="AL72" s="12"/>
      <c r="AM72" s="12"/>
      <c r="AN72" s="43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45"/>
      <c r="BV72" s="25"/>
      <c r="BW72" s="25"/>
      <c r="BX72" s="25"/>
      <c r="BY72" s="25"/>
      <c r="BZ72" s="25"/>
      <c r="CA72" s="25"/>
      <c r="CB72" s="26"/>
      <c r="CC72" s="26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46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25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30"/>
      <c r="GP72" s="30"/>
      <c r="GQ72" s="12"/>
      <c r="GR72" s="30"/>
      <c r="GS72" s="12"/>
      <c r="GT72" s="12"/>
      <c r="GU72" s="25"/>
      <c r="GV72" s="12"/>
      <c r="GW72" s="12"/>
      <c r="GX72" s="30"/>
      <c r="GY72" s="30"/>
      <c r="GZ72" s="30"/>
      <c r="HA72" s="30"/>
      <c r="HB72" s="30"/>
      <c r="HC72" s="30"/>
      <c r="HD72" s="30"/>
      <c r="HE72" s="30"/>
      <c r="HF72" s="30"/>
      <c r="HG72" s="30"/>
      <c r="HH72" s="30"/>
      <c r="HI72" s="12"/>
      <c r="HJ72" s="12"/>
      <c r="HK72" s="12"/>
      <c r="HL72" s="12"/>
      <c r="HM72" s="12"/>
      <c r="HN72" s="12"/>
    </row>
    <row r="73" ht="13.5" customHeight="1">
      <c r="A73" s="12"/>
      <c r="B73" s="12"/>
      <c r="C73" s="12"/>
      <c r="D73" s="12"/>
      <c r="E73" s="42"/>
      <c r="F73" s="12"/>
      <c r="G73" s="12"/>
      <c r="H73" s="43"/>
      <c r="I73" s="12"/>
      <c r="J73" s="12"/>
      <c r="K73" s="43"/>
      <c r="L73" s="30"/>
      <c r="M73" s="25"/>
      <c r="N73" s="12"/>
      <c r="O73" s="12"/>
      <c r="P73" s="12"/>
      <c r="Q73" s="44"/>
      <c r="R73" s="12"/>
      <c r="S73" s="12"/>
      <c r="T73" s="12"/>
      <c r="U73" s="43"/>
      <c r="V73" s="44"/>
      <c r="W73" s="12"/>
      <c r="X73" s="12"/>
      <c r="Y73" s="12"/>
      <c r="Z73" s="43"/>
      <c r="AA73" s="43"/>
      <c r="AB73" s="12"/>
      <c r="AC73" s="12"/>
      <c r="AD73" s="12"/>
      <c r="AE73" s="12"/>
      <c r="AF73" s="12"/>
      <c r="AG73" s="12"/>
      <c r="AH73" s="12"/>
      <c r="AI73" s="12"/>
      <c r="AJ73" s="42"/>
      <c r="AK73" s="12"/>
      <c r="AL73" s="12"/>
      <c r="AM73" s="12"/>
      <c r="AN73" s="43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45"/>
      <c r="BV73" s="25"/>
      <c r="BW73" s="25"/>
      <c r="BX73" s="25"/>
      <c r="BY73" s="25"/>
      <c r="BZ73" s="25"/>
      <c r="CA73" s="25"/>
      <c r="CB73" s="26"/>
      <c r="CC73" s="26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46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25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30"/>
      <c r="GP73" s="30"/>
      <c r="GQ73" s="12"/>
      <c r="GR73" s="30"/>
      <c r="GS73" s="12"/>
      <c r="GT73" s="12"/>
      <c r="GU73" s="25"/>
      <c r="GV73" s="12"/>
      <c r="GW73" s="12"/>
      <c r="GX73" s="30"/>
      <c r="GY73" s="30"/>
      <c r="GZ73" s="30"/>
      <c r="HA73" s="30"/>
      <c r="HB73" s="30"/>
      <c r="HC73" s="30"/>
      <c r="HD73" s="30"/>
      <c r="HE73" s="30"/>
      <c r="HF73" s="30"/>
      <c r="HG73" s="30"/>
      <c r="HH73" s="30"/>
      <c r="HI73" s="12"/>
      <c r="HJ73" s="12"/>
      <c r="HK73" s="12"/>
      <c r="HL73" s="12"/>
      <c r="HM73" s="12"/>
      <c r="HN73" s="12"/>
    </row>
    <row r="74" ht="13.5" customHeight="1">
      <c r="A74" s="12"/>
      <c r="B74" s="12"/>
      <c r="C74" s="12"/>
      <c r="D74" s="12"/>
      <c r="E74" s="42"/>
      <c r="F74" s="12"/>
      <c r="G74" s="12"/>
      <c r="H74" s="43"/>
      <c r="I74" s="12"/>
      <c r="J74" s="12"/>
      <c r="K74" s="43"/>
      <c r="L74" s="30"/>
      <c r="M74" s="25"/>
      <c r="N74" s="12"/>
      <c r="O74" s="12"/>
      <c r="P74" s="12"/>
      <c r="Q74" s="44"/>
      <c r="R74" s="12"/>
      <c r="S74" s="12"/>
      <c r="T74" s="12"/>
      <c r="U74" s="43"/>
      <c r="V74" s="44"/>
      <c r="W74" s="12"/>
      <c r="X74" s="12"/>
      <c r="Y74" s="12"/>
      <c r="Z74" s="43"/>
      <c r="AA74" s="43"/>
      <c r="AB74" s="12"/>
      <c r="AC74" s="12"/>
      <c r="AD74" s="12"/>
      <c r="AE74" s="12"/>
      <c r="AF74" s="12"/>
      <c r="AG74" s="12"/>
      <c r="AH74" s="12"/>
      <c r="AI74" s="12"/>
      <c r="AJ74" s="42"/>
      <c r="AK74" s="12"/>
      <c r="AL74" s="12"/>
      <c r="AM74" s="12"/>
      <c r="AN74" s="43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45"/>
      <c r="BV74" s="25"/>
      <c r="BW74" s="25"/>
      <c r="BX74" s="25"/>
      <c r="BY74" s="25"/>
      <c r="BZ74" s="25"/>
      <c r="CA74" s="25"/>
      <c r="CB74" s="26"/>
      <c r="CC74" s="26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46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25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30"/>
      <c r="GP74" s="30"/>
      <c r="GQ74" s="12"/>
      <c r="GR74" s="30"/>
      <c r="GS74" s="12"/>
      <c r="GT74" s="12"/>
      <c r="GU74" s="25"/>
      <c r="GV74" s="12"/>
      <c r="GW74" s="12"/>
      <c r="GX74" s="30"/>
      <c r="GY74" s="30"/>
      <c r="GZ74" s="30"/>
      <c r="HA74" s="30"/>
      <c r="HB74" s="30"/>
      <c r="HC74" s="30"/>
      <c r="HD74" s="30"/>
      <c r="HE74" s="30"/>
      <c r="HF74" s="30"/>
      <c r="HG74" s="30"/>
      <c r="HH74" s="30"/>
      <c r="HI74" s="12"/>
      <c r="HJ74" s="12"/>
      <c r="HK74" s="12"/>
      <c r="HL74" s="12"/>
      <c r="HM74" s="12"/>
      <c r="HN74" s="12"/>
    </row>
    <row r="75" ht="13.5" customHeight="1">
      <c r="A75" s="12"/>
      <c r="B75" s="12"/>
      <c r="C75" s="12"/>
      <c r="D75" s="12"/>
      <c r="E75" s="42"/>
      <c r="F75" s="12"/>
      <c r="G75" s="12"/>
      <c r="H75" s="43"/>
      <c r="I75" s="12"/>
      <c r="J75" s="12"/>
      <c r="K75" s="43"/>
      <c r="L75" s="30"/>
      <c r="M75" s="25"/>
      <c r="N75" s="12"/>
      <c r="O75" s="12"/>
      <c r="P75" s="12"/>
      <c r="Q75" s="44"/>
      <c r="R75" s="12"/>
      <c r="S75" s="12"/>
      <c r="T75" s="12"/>
      <c r="U75" s="43"/>
      <c r="V75" s="44"/>
      <c r="W75" s="12"/>
      <c r="X75" s="12"/>
      <c r="Y75" s="12"/>
      <c r="Z75" s="43"/>
      <c r="AA75" s="43"/>
      <c r="AB75" s="12"/>
      <c r="AC75" s="12"/>
      <c r="AD75" s="12"/>
      <c r="AE75" s="12"/>
      <c r="AF75" s="12"/>
      <c r="AG75" s="12"/>
      <c r="AH75" s="12"/>
      <c r="AI75" s="12"/>
      <c r="AJ75" s="42"/>
      <c r="AK75" s="12"/>
      <c r="AL75" s="12"/>
      <c r="AM75" s="12"/>
      <c r="AN75" s="43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45"/>
      <c r="BV75" s="25"/>
      <c r="BW75" s="25"/>
      <c r="BX75" s="25"/>
      <c r="BY75" s="25"/>
      <c r="BZ75" s="25"/>
      <c r="CA75" s="25"/>
      <c r="CB75" s="26"/>
      <c r="CC75" s="26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46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25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30"/>
      <c r="GP75" s="30"/>
      <c r="GQ75" s="12"/>
      <c r="GR75" s="30"/>
      <c r="GS75" s="12"/>
      <c r="GT75" s="12"/>
      <c r="GU75" s="25"/>
      <c r="GV75" s="12"/>
      <c r="GW75" s="12"/>
      <c r="GX75" s="30"/>
      <c r="GY75" s="30"/>
      <c r="GZ75" s="30"/>
      <c r="HA75" s="30"/>
      <c r="HB75" s="30"/>
      <c r="HC75" s="30"/>
      <c r="HD75" s="30"/>
      <c r="HE75" s="30"/>
      <c r="HF75" s="30"/>
      <c r="HG75" s="30"/>
      <c r="HH75" s="30"/>
      <c r="HI75" s="12"/>
      <c r="HJ75" s="12"/>
      <c r="HK75" s="12"/>
      <c r="HL75" s="12"/>
      <c r="HM75" s="12"/>
      <c r="HN75" s="12"/>
    </row>
    <row r="76" ht="13.5" customHeight="1">
      <c r="A76" s="12"/>
      <c r="B76" s="12"/>
      <c r="C76" s="12"/>
      <c r="D76" s="12"/>
      <c r="E76" s="42"/>
      <c r="F76" s="12"/>
      <c r="G76" s="12"/>
      <c r="H76" s="43"/>
      <c r="I76" s="12"/>
      <c r="J76" s="12"/>
      <c r="K76" s="43"/>
      <c r="L76" s="30"/>
      <c r="M76" s="25"/>
      <c r="N76" s="12"/>
      <c r="O76" s="12"/>
      <c r="P76" s="12"/>
      <c r="Q76" s="44"/>
      <c r="R76" s="12"/>
      <c r="S76" s="12"/>
      <c r="T76" s="12"/>
      <c r="U76" s="43"/>
      <c r="V76" s="44"/>
      <c r="W76" s="12"/>
      <c r="X76" s="12"/>
      <c r="Y76" s="12"/>
      <c r="Z76" s="43"/>
      <c r="AA76" s="43"/>
      <c r="AB76" s="12"/>
      <c r="AC76" s="12"/>
      <c r="AD76" s="12"/>
      <c r="AE76" s="12"/>
      <c r="AF76" s="12"/>
      <c r="AG76" s="12"/>
      <c r="AH76" s="12"/>
      <c r="AI76" s="12"/>
      <c r="AJ76" s="42"/>
      <c r="AK76" s="12"/>
      <c r="AL76" s="12"/>
      <c r="AM76" s="12"/>
      <c r="AN76" s="43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45"/>
      <c r="BV76" s="25"/>
      <c r="BW76" s="25"/>
      <c r="BX76" s="25"/>
      <c r="BY76" s="25"/>
      <c r="BZ76" s="25"/>
      <c r="CA76" s="25"/>
      <c r="CB76" s="26"/>
      <c r="CC76" s="26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46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25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30"/>
      <c r="GP76" s="30"/>
      <c r="GQ76" s="12"/>
      <c r="GR76" s="30"/>
      <c r="GS76" s="12"/>
      <c r="GT76" s="12"/>
      <c r="GU76" s="25"/>
      <c r="GV76" s="12"/>
      <c r="GW76" s="12"/>
      <c r="GX76" s="30"/>
      <c r="GY76" s="30"/>
      <c r="GZ76" s="30"/>
      <c r="HA76" s="30"/>
      <c r="HB76" s="30"/>
      <c r="HC76" s="30"/>
      <c r="HD76" s="30"/>
      <c r="HE76" s="30"/>
      <c r="HF76" s="30"/>
      <c r="HG76" s="30"/>
      <c r="HH76" s="30"/>
      <c r="HI76" s="12"/>
      <c r="HJ76" s="12"/>
      <c r="HK76" s="12"/>
      <c r="HL76" s="12"/>
      <c r="HM76" s="12"/>
      <c r="HN76" s="12"/>
    </row>
    <row r="77" ht="13.5" customHeight="1">
      <c r="A77" s="12"/>
      <c r="B77" s="12"/>
      <c r="C77" s="12"/>
      <c r="D77" s="12"/>
      <c r="E77" s="42"/>
      <c r="F77" s="12"/>
      <c r="G77" s="12"/>
      <c r="H77" s="43"/>
      <c r="I77" s="12"/>
      <c r="J77" s="12"/>
      <c r="K77" s="43"/>
      <c r="L77" s="30"/>
      <c r="M77" s="25"/>
      <c r="N77" s="12"/>
      <c r="O77" s="12"/>
      <c r="P77" s="12"/>
      <c r="Q77" s="44"/>
      <c r="R77" s="12"/>
      <c r="S77" s="12"/>
      <c r="T77" s="12"/>
      <c r="U77" s="43"/>
      <c r="V77" s="44"/>
      <c r="W77" s="12"/>
      <c r="X77" s="12"/>
      <c r="Y77" s="12"/>
      <c r="Z77" s="43"/>
      <c r="AA77" s="43"/>
      <c r="AB77" s="12"/>
      <c r="AC77" s="12"/>
      <c r="AD77" s="12"/>
      <c r="AE77" s="12"/>
      <c r="AF77" s="12"/>
      <c r="AG77" s="12"/>
      <c r="AH77" s="12"/>
      <c r="AI77" s="12"/>
      <c r="AJ77" s="42"/>
      <c r="AK77" s="12"/>
      <c r="AL77" s="12"/>
      <c r="AM77" s="12"/>
      <c r="AN77" s="43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45"/>
      <c r="BV77" s="25"/>
      <c r="BW77" s="25"/>
      <c r="BX77" s="25"/>
      <c r="BY77" s="25"/>
      <c r="BZ77" s="25"/>
      <c r="CA77" s="25"/>
      <c r="CB77" s="26"/>
      <c r="CC77" s="26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46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25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30"/>
      <c r="GP77" s="30"/>
      <c r="GQ77" s="12"/>
      <c r="GR77" s="30"/>
      <c r="GS77" s="12"/>
      <c r="GT77" s="12"/>
      <c r="GU77" s="25"/>
      <c r="GV77" s="12"/>
      <c r="GW77" s="12"/>
      <c r="GX77" s="30"/>
      <c r="GY77" s="30"/>
      <c r="GZ77" s="30"/>
      <c r="HA77" s="30"/>
      <c r="HB77" s="30"/>
      <c r="HC77" s="30"/>
      <c r="HD77" s="30"/>
      <c r="HE77" s="30"/>
      <c r="HF77" s="30"/>
      <c r="HG77" s="30"/>
      <c r="HH77" s="30"/>
      <c r="HI77" s="12"/>
      <c r="HJ77" s="12"/>
      <c r="HK77" s="12"/>
      <c r="HL77" s="12"/>
      <c r="HM77" s="12"/>
      <c r="HN77" s="12"/>
    </row>
    <row r="78" ht="13.5" customHeight="1">
      <c r="A78" s="12"/>
      <c r="B78" s="12"/>
      <c r="C78" s="12"/>
      <c r="D78" s="12"/>
      <c r="E78" s="42"/>
      <c r="F78" s="12"/>
      <c r="G78" s="12"/>
      <c r="H78" s="43"/>
      <c r="I78" s="12"/>
      <c r="J78" s="12"/>
      <c r="K78" s="43"/>
      <c r="L78" s="30"/>
      <c r="M78" s="25"/>
      <c r="N78" s="12"/>
      <c r="O78" s="12"/>
      <c r="P78" s="12"/>
      <c r="Q78" s="44"/>
      <c r="R78" s="12"/>
      <c r="S78" s="12"/>
      <c r="T78" s="12"/>
      <c r="U78" s="43"/>
      <c r="V78" s="44"/>
      <c r="W78" s="12"/>
      <c r="X78" s="12"/>
      <c r="Y78" s="12"/>
      <c r="Z78" s="43"/>
      <c r="AA78" s="43"/>
      <c r="AB78" s="12"/>
      <c r="AC78" s="12"/>
      <c r="AD78" s="12"/>
      <c r="AE78" s="12"/>
      <c r="AF78" s="12"/>
      <c r="AG78" s="12"/>
      <c r="AH78" s="12"/>
      <c r="AI78" s="12"/>
      <c r="AJ78" s="42"/>
      <c r="AK78" s="12"/>
      <c r="AL78" s="12"/>
      <c r="AM78" s="12"/>
      <c r="AN78" s="43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45"/>
      <c r="BV78" s="25"/>
      <c r="BW78" s="25"/>
      <c r="BX78" s="25"/>
      <c r="BY78" s="25"/>
      <c r="BZ78" s="25"/>
      <c r="CA78" s="25"/>
      <c r="CB78" s="26"/>
      <c r="CC78" s="26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46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25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30"/>
      <c r="GP78" s="30"/>
      <c r="GQ78" s="12"/>
      <c r="GR78" s="30"/>
      <c r="GS78" s="12"/>
      <c r="GT78" s="12"/>
      <c r="GU78" s="25"/>
      <c r="GV78" s="12"/>
      <c r="GW78" s="12"/>
      <c r="GX78" s="30"/>
      <c r="GY78" s="30"/>
      <c r="GZ78" s="30"/>
      <c r="HA78" s="30"/>
      <c r="HB78" s="30"/>
      <c r="HC78" s="30"/>
      <c r="HD78" s="30"/>
      <c r="HE78" s="30"/>
      <c r="HF78" s="30"/>
      <c r="HG78" s="30"/>
      <c r="HH78" s="30"/>
      <c r="HI78" s="12"/>
      <c r="HJ78" s="12"/>
      <c r="HK78" s="12"/>
      <c r="HL78" s="12"/>
      <c r="HM78" s="12"/>
      <c r="HN78" s="12"/>
    </row>
    <row r="79" ht="13.5" customHeight="1">
      <c r="A79" s="12"/>
      <c r="B79" s="12"/>
      <c r="C79" s="12"/>
      <c r="D79" s="12"/>
      <c r="E79" s="42"/>
      <c r="F79" s="12"/>
      <c r="G79" s="12"/>
      <c r="H79" s="43"/>
      <c r="I79" s="12"/>
      <c r="J79" s="12"/>
      <c r="K79" s="43"/>
      <c r="L79" s="30"/>
      <c r="M79" s="25"/>
      <c r="N79" s="12"/>
      <c r="O79" s="12"/>
      <c r="P79" s="12"/>
      <c r="Q79" s="44"/>
      <c r="R79" s="12"/>
      <c r="S79" s="12"/>
      <c r="T79" s="12"/>
      <c r="U79" s="43"/>
      <c r="V79" s="44"/>
      <c r="W79" s="12"/>
      <c r="X79" s="12"/>
      <c r="Y79" s="12"/>
      <c r="Z79" s="43"/>
      <c r="AA79" s="43"/>
      <c r="AB79" s="12"/>
      <c r="AC79" s="12"/>
      <c r="AD79" s="12"/>
      <c r="AE79" s="12"/>
      <c r="AF79" s="12"/>
      <c r="AG79" s="12"/>
      <c r="AH79" s="12"/>
      <c r="AI79" s="12"/>
      <c r="AJ79" s="42"/>
      <c r="AK79" s="12"/>
      <c r="AL79" s="12"/>
      <c r="AM79" s="12"/>
      <c r="AN79" s="43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45"/>
      <c r="BV79" s="25"/>
      <c r="BW79" s="25"/>
      <c r="BX79" s="25"/>
      <c r="BY79" s="25"/>
      <c r="BZ79" s="25"/>
      <c r="CA79" s="25"/>
      <c r="CB79" s="26"/>
      <c r="CC79" s="26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46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25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30"/>
      <c r="GP79" s="30"/>
      <c r="GQ79" s="12"/>
      <c r="GR79" s="30"/>
      <c r="GS79" s="12"/>
      <c r="GT79" s="12"/>
      <c r="GU79" s="25"/>
      <c r="GV79" s="12"/>
      <c r="GW79" s="12"/>
      <c r="GX79" s="30"/>
      <c r="GY79" s="30"/>
      <c r="GZ79" s="30"/>
      <c r="HA79" s="30"/>
      <c r="HB79" s="30"/>
      <c r="HC79" s="30"/>
      <c r="HD79" s="30"/>
      <c r="HE79" s="30"/>
      <c r="HF79" s="30"/>
      <c r="HG79" s="30"/>
      <c r="HH79" s="30"/>
      <c r="HI79" s="12"/>
      <c r="HJ79" s="12"/>
      <c r="HK79" s="12"/>
      <c r="HL79" s="12"/>
      <c r="HM79" s="12"/>
      <c r="HN79" s="12"/>
    </row>
    <row r="80" ht="13.5" customHeight="1">
      <c r="A80" s="12"/>
      <c r="B80" s="12"/>
      <c r="C80" s="12"/>
      <c r="D80" s="12"/>
      <c r="E80" s="42"/>
      <c r="F80" s="12"/>
      <c r="G80" s="12"/>
      <c r="H80" s="43"/>
      <c r="I80" s="12"/>
      <c r="J80" s="12"/>
      <c r="K80" s="43"/>
      <c r="L80" s="30"/>
      <c r="M80" s="25"/>
      <c r="N80" s="12"/>
      <c r="O80" s="12"/>
      <c r="P80" s="12"/>
      <c r="Q80" s="44"/>
      <c r="R80" s="12"/>
      <c r="S80" s="12"/>
      <c r="T80" s="12"/>
      <c r="U80" s="43"/>
      <c r="V80" s="44"/>
      <c r="W80" s="12"/>
      <c r="X80" s="12"/>
      <c r="Y80" s="12"/>
      <c r="Z80" s="43"/>
      <c r="AA80" s="43"/>
      <c r="AB80" s="12"/>
      <c r="AC80" s="12"/>
      <c r="AD80" s="12"/>
      <c r="AE80" s="12"/>
      <c r="AF80" s="12"/>
      <c r="AG80" s="12"/>
      <c r="AH80" s="12"/>
      <c r="AI80" s="12"/>
      <c r="AJ80" s="42"/>
      <c r="AK80" s="12"/>
      <c r="AL80" s="12"/>
      <c r="AM80" s="12"/>
      <c r="AN80" s="43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45"/>
      <c r="BV80" s="25"/>
      <c r="BW80" s="25"/>
      <c r="BX80" s="25"/>
      <c r="BY80" s="25"/>
      <c r="BZ80" s="25"/>
      <c r="CA80" s="25"/>
      <c r="CB80" s="26"/>
      <c r="CC80" s="26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46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25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30"/>
      <c r="GP80" s="30"/>
      <c r="GQ80" s="12"/>
      <c r="GR80" s="30"/>
      <c r="GS80" s="12"/>
      <c r="GT80" s="12"/>
      <c r="GU80" s="25"/>
      <c r="GV80" s="12"/>
      <c r="GW80" s="12"/>
      <c r="GX80" s="30"/>
      <c r="GY80" s="30"/>
      <c r="GZ80" s="30"/>
      <c r="HA80" s="30"/>
      <c r="HB80" s="30"/>
      <c r="HC80" s="30"/>
      <c r="HD80" s="30"/>
      <c r="HE80" s="30"/>
      <c r="HF80" s="30"/>
      <c r="HG80" s="30"/>
      <c r="HH80" s="30"/>
      <c r="HI80" s="12"/>
      <c r="HJ80" s="12"/>
      <c r="HK80" s="12"/>
      <c r="HL80" s="12"/>
      <c r="HM80" s="12"/>
      <c r="HN80" s="12"/>
    </row>
    <row r="81" ht="13.5" customHeight="1">
      <c r="A81" s="12"/>
      <c r="B81" s="12"/>
      <c r="C81" s="12"/>
      <c r="D81" s="12"/>
      <c r="E81" s="42"/>
      <c r="F81" s="12"/>
      <c r="G81" s="12"/>
      <c r="H81" s="43"/>
      <c r="I81" s="12"/>
      <c r="J81" s="12"/>
      <c r="K81" s="43"/>
      <c r="L81" s="30"/>
      <c r="M81" s="25"/>
      <c r="N81" s="12"/>
      <c r="O81" s="12"/>
      <c r="P81" s="12"/>
      <c r="Q81" s="44"/>
      <c r="R81" s="12"/>
      <c r="S81" s="12"/>
      <c r="T81" s="12"/>
      <c r="U81" s="43"/>
      <c r="V81" s="44"/>
      <c r="W81" s="12"/>
      <c r="X81" s="12"/>
      <c r="Y81" s="12"/>
      <c r="Z81" s="43"/>
      <c r="AA81" s="43"/>
      <c r="AB81" s="12"/>
      <c r="AC81" s="12"/>
      <c r="AD81" s="12"/>
      <c r="AE81" s="12"/>
      <c r="AF81" s="12"/>
      <c r="AG81" s="12"/>
      <c r="AH81" s="12"/>
      <c r="AI81" s="12"/>
      <c r="AJ81" s="42"/>
      <c r="AK81" s="12"/>
      <c r="AL81" s="12"/>
      <c r="AM81" s="12"/>
      <c r="AN81" s="43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45"/>
      <c r="BV81" s="25"/>
      <c r="BW81" s="25"/>
      <c r="BX81" s="25"/>
      <c r="BY81" s="25"/>
      <c r="BZ81" s="25"/>
      <c r="CA81" s="25"/>
      <c r="CB81" s="26"/>
      <c r="CC81" s="26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46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25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30"/>
      <c r="GP81" s="30"/>
      <c r="GQ81" s="12"/>
      <c r="GR81" s="30"/>
      <c r="GS81" s="12"/>
      <c r="GT81" s="12"/>
      <c r="GU81" s="25"/>
      <c r="GV81" s="12"/>
      <c r="GW81" s="12"/>
      <c r="GX81" s="30"/>
      <c r="GY81" s="30"/>
      <c r="GZ81" s="30"/>
      <c r="HA81" s="30"/>
      <c r="HB81" s="30"/>
      <c r="HC81" s="30"/>
      <c r="HD81" s="30"/>
      <c r="HE81" s="30"/>
      <c r="HF81" s="30"/>
      <c r="HG81" s="30"/>
      <c r="HH81" s="30"/>
      <c r="HI81" s="12"/>
      <c r="HJ81" s="12"/>
      <c r="HK81" s="12"/>
      <c r="HL81" s="12"/>
      <c r="HM81" s="12"/>
      <c r="HN81" s="12"/>
    </row>
    <row r="82" ht="13.5" customHeight="1">
      <c r="A82" s="12"/>
      <c r="B82" s="12"/>
      <c r="C82" s="12"/>
      <c r="D82" s="12"/>
      <c r="E82" s="42"/>
      <c r="F82" s="12"/>
      <c r="G82" s="12"/>
      <c r="H82" s="43"/>
      <c r="I82" s="12"/>
      <c r="J82" s="12"/>
      <c r="K82" s="43"/>
      <c r="L82" s="30"/>
      <c r="M82" s="25"/>
      <c r="N82" s="12"/>
      <c r="O82" s="12"/>
      <c r="P82" s="12"/>
      <c r="Q82" s="44"/>
      <c r="R82" s="12"/>
      <c r="S82" s="12"/>
      <c r="T82" s="12"/>
      <c r="U82" s="43"/>
      <c r="V82" s="44"/>
      <c r="W82" s="12"/>
      <c r="X82" s="12"/>
      <c r="Y82" s="12"/>
      <c r="Z82" s="43"/>
      <c r="AA82" s="43"/>
      <c r="AB82" s="12"/>
      <c r="AC82" s="12"/>
      <c r="AD82" s="12"/>
      <c r="AE82" s="12"/>
      <c r="AF82" s="12"/>
      <c r="AG82" s="12"/>
      <c r="AH82" s="12"/>
      <c r="AI82" s="12"/>
      <c r="AJ82" s="42"/>
      <c r="AK82" s="12"/>
      <c r="AL82" s="12"/>
      <c r="AM82" s="12"/>
      <c r="AN82" s="43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45"/>
      <c r="BV82" s="25"/>
      <c r="BW82" s="25"/>
      <c r="BX82" s="25"/>
      <c r="BY82" s="25"/>
      <c r="BZ82" s="25"/>
      <c r="CA82" s="25"/>
      <c r="CB82" s="26"/>
      <c r="CC82" s="26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46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25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30"/>
      <c r="GP82" s="30"/>
      <c r="GQ82" s="12"/>
      <c r="GR82" s="30"/>
      <c r="GS82" s="12"/>
      <c r="GT82" s="12"/>
      <c r="GU82" s="25"/>
      <c r="GV82" s="12"/>
      <c r="GW82" s="12"/>
      <c r="GX82" s="30"/>
      <c r="GY82" s="30"/>
      <c r="GZ82" s="30"/>
      <c r="HA82" s="30"/>
      <c r="HB82" s="30"/>
      <c r="HC82" s="30"/>
      <c r="HD82" s="30"/>
      <c r="HE82" s="30"/>
      <c r="HF82" s="30"/>
      <c r="HG82" s="30"/>
      <c r="HH82" s="30"/>
      <c r="HI82" s="12"/>
      <c r="HJ82" s="12"/>
      <c r="HK82" s="12"/>
      <c r="HL82" s="12"/>
      <c r="HM82" s="12"/>
      <c r="HN82" s="12"/>
    </row>
    <row r="83" ht="13.5" customHeight="1">
      <c r="A83" s="12"/>
      <c r="B83" s="12"/>
      <c r="C83" s="12"/>
      <c r="D83" s="12"/>
      <c r="E83" s="42"/>
      <c r="F83" s="12"/>
      <c r="G83" s="12"/>
      <c r="H83" s="43"/>
      <c r="I83" s="12"/>
      <c r="J83" s="12"/>
      <c r="K83" s="43"/>
      <c r="L83" s="30"/>
      <c r="M83" s="25"/>
      <c r="N83" s="12"/>
      <c r="O83" s="12"/>
      <c r="P83" s="12"/>
      <c r="Q83" s="44"/>
      <c r="R83" s="12"/>
      <c r="S83" s="12"/>
      <c r="T83" s="12"/>
      <c r="U83" s="43"/>
      <c r="V83" s="44"/>
      <c r="W83" s="12"/>
      <c r="X83" s="12"/>
      <c r="Y83" s="12"/>
      <c r="Z83" s="43"/>
      <c r="AA83" s="43"/>
      <c r="AB83" s="12"/>
      <c r="AC83" s="12"/>
      <c r="AD83" s="12"/>
      <c r="AE83" s="12"/>
      <c r="AF83" s="12"/>
      <c r="AG83" s="12"/>
      <c r="AH83" s="12"/>
      <c r="AI83" s="12"/>
      <c r="AJ83" s="42"/>
      <c r="AK83" s="12"/>
      <c r="AL83" s="12"/>
      <c r="AM83" s="12"/>
      <c r="AN83" s="43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45"/>
      <c r="BV83" s="25"/>
      <c r="BW83" s="25"/>
      <c r="BX83" s="25"/>
      <c r="BY83" s="25"/>
      <c r="BZ83" s="25"/>
      <c r="CA83" s="25"/>
      <c r="CB83" s="26"/>
      <c r="CC83" s="26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46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25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30"/>
      <c r="GP83" s="30"/>
      <c r="GQ83" s="12"/>
      <c r="GR83" s="30"/>
      <c r="GS83" s="12"/>
      <c r="GT83" s="12"/>
      <c r="GU83" s="25"/>
      <c r="GV83" s="12"/>
      <c r="GW83" s="12"/>
      <c r="GX83" s="30"/>
      <c r="GY83" s="30"/>
      <c r="GZ83" s="30"/>
      <c r="HA83" s="30"/>
      <c r="HB83" s="30"/>
      <c r="HC83" s="30"/>
      <c r="HD83" s="30"/>
      <c r="HE83" s="30"/>
      <c r="HF83" s="30"/>
      <c r="HG83" s="30"/>
      <c r="HH83" s="30"/>
      <c r="HI83" s="12"/>
      <c r="HJ83" s="12"/>
      <c r="HK83" s="12"/>
      <c r="HL83" s="12"/>
      <c r="HM83" s="12"/>
      <c r="HN83" s="12"/>
    </row>
    <row r="84" ht="13.5" customHeight="1">
      <c r="A84" s="12"/>
      <c r="B84" s="12"/>
      <c r="C84" s="12"/>
      <c r="D84" s="12"/>
      <c r="E84" s="42"/>
      <c r="F84" s="12"/>
      <c r="G84" s="12"/>
      <c r="H84" s="43"/>
      <c r="I84" s="12"/>
      <c r="J84" s="12"/>
      <c r="K84" s="43"/>
      <c r="L84" s="30"/>
      <c r="M84" s="25"/>
      <c r="N84" s="12"/>
      <c r="O84" s="12"/>
      <c r="P84" s="12"/>
      <c r="Q84" s="44"/>
      <c r="R84" s="12"/>
      <c r="S84" s="12"/>
      <c r="T84" s="12"/>
      <c r="U84" s="43"/>
      <c r="V84" s="44"/>
      <c r="W84" s="12"/>
      <c r="X84" s="12"/>
      <c r="Y84" s="12"/>
      <c r="Z84" s="43"/>
      <c r="AA84" s="43"/>
      <c r="AB84" s="12"/>
      <c r="AC84" s="12"/>
      <c r="AD84" s="12"/>
      <c r="AE84" s="12"/>
      <c r="AF84" s="12"/>
      <c r="AG84" s="12"/>
      <c r="AH84" s="12"/>
      <c r="AI84" s="12"/>
      <c r="AJ84" s="42"/>
      <c r="AK84" s="12"/>
      <c r="AL84" s="12"/>
      <c r="AM84" s="12"/>
      <c r="AN84" s="43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45"/>
      <c r="BV84" s="25"/>
      <c r="BW84" s="25"/>
      <c r="BX84" s="25"/>
      <c r="BY84" s="25"/>
      <c r="BZ84" s="25"/>
      <c r="CA84" s="25"/>
      <c r="CB84" s="26"/>
      <c r="CC84" s="26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46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25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30"/>
      <c r="GP84" s="30"/>
      <c r="GQ84" s="12"/>
      <c r="GR84" s="30"/>
      <c r="GS84" s="12"/>
      <c r="GT84" s="12"/>
      <c r="GU84" s="25"/>
      <c r="GV84" s="12"/>
      <c r="GW84" s="12"/>
      <c r="GX84" s="30"/>
      <c r="GY84" s="30"/>
      <c r="GZ84" s="30"/>
      <c r="HA84" s="30"/>
      <c r="HB84" s="30"/>
      <c r="HC84" s="30"/>
      <c r="HD84" s="30"/>
      <c r="HE84" s="30"/>
      <c r="HF84" s="30"/>
      <c r="HG84" s="30"/>
      <c r="HH84" s="30"/>
      <c r="HI84" s="12"/>
      <c r="HJ84" s="12"/>
      <c r="HK84" s="12"/>
      <c r="HL84" s="12"/>
      <c r="HM84" s="12"/>
      <c r="HN84" s="12"/>
    </row>
    <row r="85" ht="13.5" customHeight="1">
      <c r="A85" s="12"/>
      <c r="B85" s="12"/>
      <c r="C85" s="12"/>
      <c r="D85" s="12"/>
      <c r="E85" s="42"/>
      <c r="F85" s="12"/>
      <c r="G85" s="12"/>
      <c r="H85" s="43"/>
      <c r="I85" s="12"/>
      <c r="J85" s="12"/>
      <c r="K85" s="43"/>
      <c r="L85" s="30"/>
      <c r="M85" s="25"/>
      <c r="N85" s="12"/>
      <c r="O85" s="12"/>
      <c r="P85" s="12"/>
      <c r="Q85" s="44"/>
      <c r="R85" s="12"/>
      <c r="S85" s="12"/>
      <c r="T85" s="12"/>
      <c r="U85" s="43"/>
      <c r="V85" s="44"/>
      <c r="W85" s="12"/>
      <c r="X85" s="12"/>
      <c r="Y85" s="12"/>
      <c r="Z85" s="43"/>
      <c r="AA85" s="43"/>
      <c r="AB85" s="12"/>
      <c r="AC85" s="12"/>
      <c r="AD85" s="12"/>
      <c r="AE85" s="12"/>
      <c r="AF85" s="12"/>
      <c r="AG85" s="12"/>
      <c r="AH85" s="12"/>
      <c r="AI85" s="12"/>
      <c r="AJ85" s="42"/>
      <c r="AK85" s="12"/>
      <c r="AL85" s="12"/>
      <c r="AM85" s="12"/>
      <c r="AN85" s="43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45"/>
      <c r="BV85" s="25"/>
      <c r="BW85" s="25"/>
      <c r="BX85" s="25"/>
      <c r="BY85" s="25"/>
      <c r="BZ85" s="25"/>
      <c r="CA85" s="25"/>
      <c r="CB85" s="26"/>
      <c r="CC85" s="26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46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25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30"/>
      <c r="GP85" s="30"/>
      <c r="GQ85" s="12"/>
      <c r="GR85" s="30"/>
      <c r="GS85" s="12"/>
      <c r="GT85" s="12"/>
      <c r="GU85" s="25"/>
      <c r="GV85" s="12"/>
      <c r="GW85" s="12"/>
      <c r="GX85" s="30"/>
      <c r="GY85" s="30"/>
      <c r="GZ85" s="30"/>
      <c r="HA85" s="30"/>
      <c r="HB85" s="30"/>
      <c r="HC85" s="30"/>
      <c r="HD85" s="30"/>
      <c r="HE85" s="30"/>
      <c r="HF85" s="30"/>
      <c r="HG85" s="30"/>
      <c r="HH85" s="30"/>
      <c r="HI85" s="12"/>
      <c r="HJ85" s="12"/>
      <c r="HK85" s="12"/>
      <c r="HL85" s="12"/>
      <c r="HM85" s="12"/>
      <c r="HN85" s="12"/>
    </row>
    <row r="86" ht="13.5" customHeight="1">
      <c r="A86" s="12"/>
      <c r="B86" s="12"/>
      <c r="C86" s="12"/>
      <c r="D86" s="12"/>
      <c r="E86" s="42"/>
      <c r="F86" s="12"/>
      <c r="G86" s="12"/>
      <c r="H86" s="43"/>
      <c r="I86" s="12"/>
      <c r="J86" s="12"/>
      <c r="K86" s="43"/>
      <c r="L86" s="30"/>
      <c r="M86" s="25"/>
      <c r="N86" s="12"/>
      <c r="O86" s="12"/>
      <c r="P86" s="12"/>
      <c r="Q86" s="44"/>
      <c r="R86" s="12"/>
      <c r="S86" s="12"/>
      <c r="T86" s="12"/>
      <c r="U86" s="43"/>
      <c r="V86" s="44"/>
      <c r="W86" s="12"/>
      <c r="X86" s="12"/>
      <c r="Y86" s="12"/>
      <c r="Z86" s="43"/>
      <c r="AA86" s="43"/>
      <c r="AB86" s="12"/>
      <c r="AC86" s="12"/>
      <c r="AD86" s="12"/>
      <c r="AE86" s="12"/>
      <c r="AF86" s="12"/>
      <c r="AG86" s="12"/>
      <c r="AH86" s="12"/>
      <c r="AI86" s="12"/>
      <c r="AJ86" s="42"/>
      <c r="AK86" s="12"/>
      <c r="AL86" s="12"/>
      <c r="AM86" s="12"/>
      <c r="AN86" s="43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45"/>
      <c r="BV86" s="25"/>
      <c r="BW86" s="25"/>
      <c r="BX86" s="25"/>
      <c r="BY86" s="25"/>
      <c r="BZ86" s="25"/>
      <c r="CA86" s="25"/>
      <c r="CB86" s="26"/>
      <c r="CC86" s="26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46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25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30"/>
      <c r="GP86" s="30"/>
      <c r="GQ86" s="12"/>
      <c r="GR86" s="30"/>
      <c r="GS86" s="12"/>
      <c r="GT86" s="12"/>
      <c r="GU86" s="25"/>
      <c r="GV86" s="12"/>
      <c r="GW86" s="12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12"/>
      <c r="HJ86" s="12"/>
      <c r="HK86" s="12"/>
      <c r="HL86" s="12"/>
      <c r="HM86" s="12"/>
      <c r="HN86" s="12"/>
    </row>
    <row r="87" ht="13.5" customHeight="1">
      <c r="A87" s="12"/>
      <c r="B87" s="12"/>
      <c r="C87" s="12"/>
      <c r="D87" s="12"/>
      <c r="E87" s="42"/>
      <c r="F87" s="12"/>
      <c r="G87" s="12"/>
      <c r="H87" s="43"/>
      <c r="I87" s="12"/>
      <c r="J87" s="12"/>
      <c r="K87" s="43"/>
      <c r="L87" s="30"/>
      <c r="M87" s="25"/>
      <c r="N87" s="12"/>
      <c r="O87" s="12"/>
      <c r="P87" s="12"/>
      <c r="Q87" s="44"/>
      <c r="R87" s="12"/>
      <c r="S87" s="12"/>
      <c r="T87" s="12"/>
      <c r="U87" s="43"/>
      <c r="V87" s="44"/>
      <c r="W87" s="12"/>
      <c r="X87" s="12"/>
      <c r="Y87" s="12"/>
      <c r="Z87" s="43"/>
      <c r="AA87" s="43"/>
      <c r="AB87" s="12"/>
      <c r="AC87" s="12"/>
      <c r="AD87" s="12"/>
      <c r="AE87" s="12"/>
      <c r="AF87" s="12"/>
      <c r="AG87" s="12"/>
      <c r="AH87" s="12"/>
      <c r="AI87" s="12"/>
      <c r="AJ87" s="42"/>
      <c r="AK87" s="12"/>
      <c r="AL87" s="12"/>
      <c r="AM87" s="12"/>
      <c r="AN87" s="43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45"/>
      <c r="BV87" s="25"/>
      <c r="BW87" s="25"/>
      <c r="BX87" s="25"/>
      <c r="BY87" s="25"/>
      <c r="BZ87" s="25"/>
      <c r="CA87" s="25"/>
      <c r="CB87" s="26"/>
      <c r="CC87" s="26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46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25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30"/>
      <c r="GP87" s="30"/>
      <c r="GQ87" s="12"/>
      <c r="GR87" s="30"/>
      <c r="GS87" s="12"/>
      <c r="GT87" s="12"/>
      <c r="GU87" s="25"/>
      <c r="GV87" s="12"/>
      <c r="GW87" s="12"/>
      <c r="GX87" s="30"/>
      <c r="GY87" s="30"/>
      <c r="GZ87" s="30"/>
      <c r="HA87" s="30"/>
      <c r="HB87" s="30"/>
      <c r="HC87" s="30"/>
      <c r="HD87" s="30"/>
      <c r="HE87" s="30"/>
      <c r="HF87" s="30"/>
      <c r="HG87" s="30"/>
      <c r="HH87" s="30"/>
      <c r="HI87" s="12"/>
      <c r="HJ87" s="12"/>
      <c r="HK87" s="12"/>
      <c r="HL87" s="12"/>
      <c r="HM87" s="12"/>
      <c r="HN87" s="12"/>
    </row>
    <row r="88" ht="13.5" customHeight="1">
      <c r="A88" s="12"/>
      <c r="B88" s="12"/>
      <c r="C88" s="12"/>
      <c r="D88" s="12"/>
      <c r="E88" s="42"/>
      <c r="F88" s="12"/>
      <c r="G88" s="12"/>
      <c r="H88" s="43"/>
      <c r="I88" s="12"/>
      <c r="J88" s="12"/>
      <c r="K88" s="43"/>
      <c r="L88" s="30"/>
      <c r="M88" s="25"/>
      <c r="N88" s="12"/>
      <c r="O88" s="12"/>
      <c r="P88" s="12"/>
      <c r="Q88" s="44"/>
      <c r="R88" s="12"/>
      <c r="S88" s="12"/>
      <c r="T88" s="12"/>
      <c r="U88" s="43"/>
      <c r="V88" s="44"/>
      <c r="W88" s="12"/>
      <c r="X88" s="12"/>
      <c r="Y88" s="12"/>
      <c r="Z88" s="43"/>
      <c r="AA88" s="43"/>
      <c r="AB88" s="12"/>
      <c r="AC88" s="12"/>
      <c r="AD88" s="12"/>
      <c r="AE88" s="12"/>
      <c r="AF88" s="12"/>
      <c r="AG88" s="12"/>
      <c r="AH88" s="12"/>
      <c r="AI88" s="12"/>
      <c r="AJ88" s="42"/>
      <c r="AK88" s="12"/>
      <c r="AL88" s="12"/>
      <c r="AM88" s="12"/>
      <c r="AN88" s="43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45"/>
      <c r="BV88" s="25"/>
      <c r="BW88" s="25"/>
      <c r="BX88" s="25"/>
      <c r="BY88" s="25"/>
      <c r="BZ88" s="25"/>
      <c r="CA88" s="25"/>
      <c r="CB88" s="26"/>
      <c r="CC88" s="26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46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25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30"/>
      <c r="GP88" s="30"/>
      <c r="GQ88" s="12"/>
      <c r="GR88" s="30"/>
      <c r="GS88" s="12"/>
      <c r="GT88" s="12"/>
      <c r="GU88" s="25"/>
      <c r="GV88" s="12"/>
      <c r="GW88" s="12"/>
      <c r="GX88" s="30"/>
      <c r="GY88" s="30"/>
      <c r="GZ88" s="30"/>
      <c r="HA88" s="30"/>
      <c r="HB88" s="30"/>
      <c r="HC88" s="30"/>
      <c r="HD88" s="30"/>
      <c r="HE88" s="30"/>
      <c r="HF88" s="30"/>
      <c r="HG88" s="30"/>
      <c r="HH88" s="30"/>
      <c r="HI88" s="12"/>
      <c r="HJ88" s="12"/>
      <c r="HK88" s="12"/>
      <c r="HL88" s="12"/>
      <c r="HM88" s="12"/>
      <c r="HN88" s="12"/>
    </row>
    <row r="89" ht="13.5" customHeight="1">
      <c r="A89" s="12"/>
      <c r="B89" s="12"/>
      <c r="C89" s="12"/>
      <c r="D89" s="12"/>
      <c r="E89" s="42"/>
      <c r="F89" s="12"/>
      <c r="G89" s="12"/>
      <c r="H89" s="43"/>
      <c r="I89" s="12"/>
      <c r="J89" s="12"/>
      <c r="K89" s="43"/>
      <c r="L89" s="30"/>
      <c r="M89" s="25"/>
      <c r="N89" s="12"/>
      <c r="O89" s="12"/>
      <c r="P89" s="12"/>
      <c r="Q89" s="44"/>
      <c r="R89" s="12"/>
      <c r="S89" s="12"/>
      <c r="T89" s="12"/>
      <c r="U89" s="43"/>
      <c r="V89" s="44"/>
      <c r="W89" s="12"/>
      <c r="X89" s="12"/>
      <c r="Y89" s="12"/>
      <c r="Z89" s="43"/>
      <c r="AA89" s="43"/>
      <c r="AB89" s="12"/>
      <c r="AC89" s="12"/>
      <c r="AD89" s="12"/>
      <c r="AE89" s="12"/>
      <c r="AF89" s="12"/>
      <c r="AG89" s="12"/>
      <c r="AH89" s="12"/>
      <c r="AI89" s="12"/>
      <c r="AJ89" s="42"/>
      <c r="AK89" s="12"/>
      <c r="AL89" s="12"/>
      <c r="AM89" s="12"/>
      <c r="AN89" s="43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45"/>
      <c r="BV89" s="25"/>
      <c r="BW89" s="25"/>
      <c r="BX89" s="25"/>
      <c r="BY89" s="25"/>
      <c r="BZ89" s="25"/>
      <c r="CA89" s="25"/>
      <c r="CB89" s="26"/>
      <c r="CC89" s="26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46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25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30"/>
      <c r="GP89" s="30"/>
      <c r="GQ89" s="12"/>
      <c r="GR89" s="30"/>
      <c r="GS89" s="12"/>
      <c r="GT89" s="12"/>
      <c r="GU89" s="25"/>
      <c r="GV89" s="12"/>
      <c r="GW89" s="12"/>
      <c r="GX89" s="30"/>
      <c r="GY89" s="30"/>
      <c r="GZ89" s="30"/>
      <c r="HA89" s="30"/>
      <c r="HB89" s="30"/>
      <c r="HC89" s="30"/>
      <c r="HD89" s="30"/>
      <c r="HE89" s="30"/>
      <c r="HF89" s="30"/>
      <c r="HG89" s="30"/>
      <c r="HH89" s="30"/>
      <c r="HI89" s="12"/>
      <c r="HJ89" s="12"/>
      <c r="HK89" s="12"/>
      <c r="HL89" s="12"/>
      <c r="HM89" s="12"/>
      <c r="HN89" s="12"/>
    </row>
    <row r="90" ht="13.5" customHeight="1">
      <c r="A90" s="12"/>
      <c r="B90" s="12"/>
      <c r="C90" s="12"/>
      <c r="D90" s="12"/>
      <c r="E90" s="42"/>
      <c r="F90" s="12"/>
      <c r="G90" s="12"/>
      <c r="H90" s="43"/>
      <c r="I90" s="12"/>
      <c r="J90" s="12"/>
      <c r="K90" s="43"/>
      <c r="L90" s="30"/>
      <c r="M90" s="25"/>
      <c r="N90" s="12"/>
      <c r="O90" s="12"/>
      <c r="P90" s="12"/>
      <c r="Q90" s="44"/>
      <c r="R90" s="12"/>
      <c r="S90" s="12"/>
      <c r="T90" s="12"/>
      <c r="U90" s="43"/>
      <c r="V90" s="44"/>
      <c r="W90" s="12"/>
      <c r="X90" s="12"/>
      <c r="Y90" s="12"/>
      <c r="Z90" s="43"/>
      <c r="AA90" s="43"/>
      <c r="AB90" s="12"/>
      <c r="AC90" s="12"/>
      <c r="AD90" s="12"/>
      <c r="AE90" s="12"/>
      <c r="AF90" s="12"/>
      <c r="AG90" s="12"/>
      <c r="AH90" s="12"/>
      <c r="AI90" s="12"/>
      <c r="AJ90" s="42"/>
      <c r="AK90" s="12"/>
      <c r="AL90" s="12"/>
      <c r="AM90" s="12"/>
      <c r="AN90" s="43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45"/>
      <c r="BV90" s="25"/>
      <c r="BW90" s="25"/>
      <c r="BX90" s="25"/>
      <c r="BY90" s="25"/>
      <c r="BZ90" s="25"/>
      <c r="CA90" s="25"/>
      <c r="CB90" s="26"/>
      <c r="CC90" s="26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46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25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30"/>
      <c r="GP90" s="30"/>
      <c r="GQ90" s="12"/>
      <c r="GR90" s="30"/>
      <c r="GS90" s="12"/>
      <c r="GT90" s="12"/>
      <c r="GU90" s="25"/>
      <c r="GV90" s="12"/>
      <c r="GW90" s="12"/>
      <c r="GX90" s="30"/>
      <c r="GY90" s="30"/>
      <c r="GZ90" s="30"/>
      <c r="HA90" s="30"/>
      <c r="HB90" s="30"/>
      <c r="HC90" s="30"/>
      <c r="HD90" s="30"/>
      <c r="HE90" s="30"/>
      <c r="HF90" s="30"/>
      <c r="HG90" s="30"/>
      <c r="HH90" s="30"/>
      <c r="HI90" s="12"/>
      <c r="HJ90" s="12"/>
      <c r="HK90" s="12"/>
      <c r="HL90" s="12"/>
      <c r="HM90" s="12"/>
      <c r="HN90" s="12"/>
    </row>
    <row r="91" ht="13.5" customHeight="1">
      <c r="A91" s="12"/>
      <c r="B91" s="12"/>
      <c r="C91" s="12"/>
      <c r="D91" s="12"/>
      <c r="E91" s="42"/>
      <c r="F91" s="12"/>
      <c r="G91" s="12"/>
      <c r="H91" s="43"/>
      <c r="I91" s="12"/>
      <c r="J91" s="12"/>
      <c r="K91" s="43"/>
      <c r="L91" s="30"/>
      <c r="M91" s="25"/>
      <c r="N91" s="12"/>
      <c r="O91" s="12"/>
      <c r="P91" s="12"/>
      <c r="Q91" s="44"/>
      <c r="R91" s="12"/>
      <c r="S91" s="12"/>
      <c r="T91" s="12"/>
      <c r="U91" s="43"/>
      <c r="V91" s="44"/>
      <c r="W91" s="12"/>
      <c r="X91" s="12"/>
      <c r="Y91" s="12"/>
      <c r="Z91" s="43"/>
      <c r="AA91" s="43"/>
      <c r="AB91" s="12"/>
      <c r="AC91" s="12"/>
      <c r="AD91" s="12"/>
      <c r="AE91" s="12"/>
      <c r="AF91" s="12"/>
      <c r="AG91" s="12"/>
      <c r="AH91" s="12"/>
      <c r="AI91" s="12"/>
      <c r="AJ91" s="42"/>
      <c r="AK91" s="12"/>
      <c r="AL91" s="12"/>
      <c r="AM91" s="12"/>
      <c r="AN91" s="43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45"/>
      <c r="BV91" s="25"/>
      <c r="BW91" s="25"/>
      <c r="BX91" s="25"/>
      <c r="BY91" s="25"/>
      <c r="BZ91" s="25"/>
      <c r="CA91" s="25"/>
      <c r="CB91" s="26"/>
      <c r="CC91" s="26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46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25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30"/>
      <c r="GP91" s="30"/>
      <c r="GQ91" s="12"/>
      <c r="GR91" s="30"/>
      <c r="GS91" s="12"/>
      <c r="GT91" s="12"/>
      <c r="GU91" s="25"/>
      <c r="GV91" s="12"/>
      <c r="GW91" s="12"/>
      <c r="GX91" s="30"/>
      <c r="GY91" s="30"/>
      <c r="GZ91" s="30"/>
      <c r="HA91" s="30"/>
      <c r="HB91" s="30"/>
      <c r="HC91" s="30"/>
      <c r="HD91" s="30"/>
      <c r="HE91" s="30"/>
      <c r="HF91" s="30"/>
      <c r="HG91" s="30"/>
      <c r="HH91" s="30"/>
      <c r="HI91" s="12"/>
      <c r="HJ91" s="12"/>
      <c r="HK91" s="12"/>
      <c r="HL91" s="12"/>
      <c r="HM91" s="12"/>
      <c r="HN91" s="12"/>
    </row>
    <row r="92" ht="13.5" customHeight="1">
      <c r="A92" s="12"/>
      <c r="B92" s="12"/>
      <c r="C92" s="12"/>
      <c r="D92" s="12"/>
      <c r="E92" s="42"/>
      <c r="F92" s="12"/>
      <c r="G92" s="12"/>
      <c r="H92" s="43"/>
      <c r="I92" s="12"/>
      <c r="J92" s="12"/>
      <c r="K92" s="43"/>
      <c r="L92" s="30"/>
      <c r="M92" s="25"/>
      <c r="N92" s="12"/>
      <c r="O92" s="12"/>
      <c r="P92" s="12"/>
      <c r="Q92" s="44"/>
      <c r="R92" s="12"/>
      <c r="S92" s="12"/>
      <c r="T92" s="12"/>
      <c r="U92" s="43"/>
      <c r="V92" s="44"/>
      <c r="W92" s="12"/>
      <c r="X92" s="12"/>
      <c r="Y92" s="12"/>
      <c r="Z92" s="43"/>
      <c r="AA92" s="43"/>
      <c r="AB92" s="12"/>
      <c r="AC92" s="12"/>
      <c r="AD92" s="12"/>
      <c r="AE92" s="12"/>
      <c r="AF92" s="12"/>
      <c r="AG92" s="12"/>
      <c r="AH92" s="12"/>
      <c r="AI92" s="12"/>
      <c r="AJ92" s="42"/>
      <c r="AK92" s="12"/>
      <c r="AL92" s="12"/>
      <c r="AM92" s="12"/>
      <c r="AN92" s="43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45"/>
      <c r="BV92" s="25"/>
      <c r="BW92" s="25"/>
      <c r="BX92" s="25"/>
      <c r="BY92" s="25"/>
      <c r="BZ92" s="25"/>
      <c r="CA92" s="25"/>
      <c r="CB92" s="26"/>
      <c r="CC92" s="26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46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25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30"/>
      <c r="GP92" s="30"/>
      <c r="GQ92" s="12"/>
      <c r="GR92" s="30"/>
      <c r="GS92" s="12"/>
      <c r="GT92" s="12"/>
      <c r="GU92" s="25"/>
      <c r="GV92" s="12"/>
      <c r="GW92" s="12"/>
      <c r="GX92" s="30"/>
      <c r="GY92" s="30"/>
      <c r="GZ92" s="30"/>
      <c r="HA92" s="30"/>
      <c r="HB92" s="30"/>
      <c r="HC92" s="30"/>
      <c r="HD92" s="30"/>
      <c r="HE92" s="30"/>
      <c r="HF92" s="30"/>
      <c r="HG92" s="30"/>
      <c r="HH92" s="30"/>
      <c r="HI92" s="12"/>
      <c r="HJ92" s="12"/>
      <c r="HK92" s="12"/>
      <c r="HL92" s="12"/>
      <c r="HM92" s="12"/>
      <c r="HN92" s="12"/>
    </row>
    <row r="93" ht="13.5" customHeight="1">
      <c r="A93" s="12"/>
      <c r="B93" s="12"/>
      <c r="C93" s="12"/>
      <c r="D93" s="12"/>
      <c r="E93" s="42"/>
      <c r="F93" s="12"/>
      <c r="G93" s="12"/>
      <c r="H93" s="43"/>
      <c r="I93" s="12"/>
      <c r="J93" s="12"/>
      <c r="K93" s="43"/>
      <c r="L93" s="30"/>
      <c r="M93" s="25"/>
      <c r="N93" s="12"/>
      <c r="O93" s="12"/>
      <c r="P93" s="12"/>
      <c r="Q93" s="44"/>
      <c r="R93" s="12"/>
      <c r="S93" s="12"/>
      <c r="T93" s="12"/>
      <c r="U93" s="43"/>
      <c r="V93" s="44"/>
      <c r="W93" s="12"/>
      <c r="X93" s="12"/>
      <c r="Y93" s="12"/>
      <c r="Z93" s="43"/>
      <c r="AA93" s="43"/>
      <c r="AB93" s="12"/>
      <c r="AC93" s="12"/>
      <c r="AD93" s="12"/>
      <c r="AE93" s="12"/>
      <c r="AF93" s="12"/>
      <c r="AG93" s="12"/>
      <c r="AH93" s="12"/>
      <c r="AI93" s="12"/>
      <c r="AJ93" s="42"/>
      <c r="AK93" s="12"/>
      <c r="AL93" s="12"/>
      <c r="AM93" s="12"/>
      <c r="AN93" s="43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45"/>
      <c r="BV93" s="25"/>
      <c r="BW93" s="25"/>
      <c r="BX93" s="25"/>
      <c r="BY93" s="25"/>
      <c r="BZ93" s="25"/>
      <c r="CA93" s="25"/>
      <c r="CB93" s="26"/>
      <c r="CC93" s="26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46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25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30"/>
      <c r="GP93" s="30"/>
      <c r="GQ93" s="12"/>
      <c r="GR93" s="30"/>
      <c r="GS93" s="12"/>
      <c r="GT93" s="12"/>
      <c r="GU93" s="25"/>
      <c r="GV93" s="12"/>
      <c r="GW93" s="12"/>
      <c r="GX93" s="30"/>
      <c r="GY93" s="30"/>
      <c r="GZ93" s="30"/>
      <c r="HA93" s="30"/>
      <c r="HB93" s="30"/>
      <c r="HC93" s="30"/>
      <c r="HD93" s="30"/>
      <c r="HE93" s="30"/>
      <c r="HF93" s="30"/>
      <c r="HG93" s="30"/>
      <c r="HH93" s="30"/>
      <c r="HI93" s="12"/>
      <c r="HJ93" s="12"/>
      <c r="HK93" s="12"/>
      <c r="HL93" s="12"/>
      <c r="HM93" s="12"/>
      <c r="HN93" s="12"/>
    </row>
    <row r="94" ht="13.5" customHeight="1">
      <c r="A94" s="12"/>
      <c r="B94" s="12"/>
      <c r="C94" s="12"/>
      <c r="D94" s="12"/>
      <c r="E94" s="42"/>
      <c r="F94" s="12"/>
      <c r="G94" s="12"/>
      <c r="H94" s="43"/>
      <c r="I94" s="12"/>
      <c r="J94" s="12"/>
      <c r="K94" s="43"/>
      <c r="L94" s="30"/>
      <c r="M94" s="25"/>
      <c r="N94" s="12"/>
      <c r="O94" s="12"/>
      <c r="P94" s="12"/>
      <c r="Q94" s="44"/>
      <c r="R94" s="12"/>
      <c r="S94" s="12"/>
      <c r="T94" s="12"/>
      <c r="U94" s="43"/>
      <c r="V94" s="44"/>
      <c r="W94" s="12"/>
      <c r="X94" s="12"/>
      <c r="Y94" s="12"/>
      <c r="Z94" s="43"/>
      <c r="AA94" s="43"/>
      <c r="AB94" s="12"/>
      <c r="AC94" s="12"/>
      <c r="AD94" s="12"/>
      <c r="AE94" s="12"/>
      <c r="AF94" s="12"/>
      <c r="AG94" s="12"/>
      <c r="AH94" s="12"/>
      <c r="AI94" s="12"/>
      <c r="AJ94" s="42"/>
      <c r="AK94" s="12"/>
      <c r="AL94" s="12"/>
      <c r="AM94" s="12"/>
      <c r="AN94" s="43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45"/>
      <c r="BV94" s="25"/>
      <c r="BW94" s="25"/>
      <c r="BX94" s="25"/>
      <c r="BY94" s="25"/>
      <c r="BZ94" s="25"/>
      <c r="CA94" s="25"/>
      <c r="CB94" s="26"/>
      <c r="CC94" s="26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46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25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30"/>
      <c r="GP94" s="30"/>
      <c r="GQ94" s="12"/>
      <c r="GR94" s="30"/>
      <c r="GS94" s="12"/>
      <c r="GT94" s="12"/>
      <c r="GU94" s="25"/>
      <c r="GV94" s="12"/>
      <c r="GW94" s="12"/>
      <c r="GX94" s="30"/>
      <c r="GY94" s="30"/>
      <c r="GZ94" s="30"/>
      <c r="HA94" s="30"/>
      <c r="HB94" s="30"/>
      <c r="HC94" s="30"/>
      <c r="HD94" s="30"/>
      <c r="HE94" s="30"/>
      <c r="HF94" s="30"/>
      <c r="HG94" s="30"/>
      <c r="HH94" s="30"/>
      <c r="HI94" s="12"/>
      <c r="HJ94" s="12"/>
      <c r="HK94" s="12"/>
      <c r="HL94" s="12"/>
      <c r="HM94" s="12"/>
      <c r="HN94" s="12"/>
    </row>
    <row r="95" ht="13.5" customHeight="1">
      <c r="A95" s="12"/>
      <c r="B95" s="12"/>
      <c r="C95" s="12"/>
      <c r="D95" s="12"/>
      <c r="E95" s="42"/>
      <c r="F95" s="12"/>
      <c r="G95" s="12"/>
      <c r="H95" s="43"/>
      <c r="I95" s="12"/>
      <c r="J95" s="12"/>
      <c r="K95" s="43"/>
      <c r="L95" s="30"/>
      <c r="M95" s="25"/>
      <c r="N95" s="12"/>
      <c r="O95" s="12"/>
      <c r="P95" s="12"/>
      <c r="Q95" s="44"/>
      <c r="R95" s="12"/>
      <c r="S95" s="12"/>
      <c r="T95" s="12"/>
      <c r="U95" s="43"/>
      <c r="V95" s="44"/>
      <c r="W95" s="12"/>
      <c r="X95" s="12"/>
      <c r="Y95" s="12"/>
      <c r="Z95" s="43"/>
      <c r="AA95" s="43"/>
      <c r="AB95" s="12"/>
      <c r="AC95" s="12"/>
      <c r="AD95" s="12"/>
      <c r="AE95" s="12"/>
      <c r="AF95" s="12"/>
      <c r="AG95" s="12"/>
      <c r="AH95" s="12"/>
      <c r="AI95" s="12"/>
      <c r="AJ95" s="42"/>
      <c r="AK95" s="12"/>
      <c r="AL95" s="12"/>
      <c r="AM95" s="12"/>
      <c r="AN95" s="43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45"/>
      <c r="BV95" s="25"/>
      <c r="BW95" s="25"/>
      <c r="BX95" s="25"/>
      <c r="BY95" s="25"/>
      <c r="BZ95" s="25"/>
      <c r="CA95" s="25"/>
      <c r="CB95" s="26"/>
      <c r="CC95" s="26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46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25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30"/>
      <c r="GP95" s="30"/>
      <c r="GQ95" s="12"/>
      <c r="GR95" s="30"/>
      <c r="GS95" s="12"/>
      <c r="GT95" s="12"/>
      <c r="GU95" s="25"/>
      <c r="GV95" s="12"/>
      <c r="GW95" s="12"/>
      <c r="GX95" s="30"/>
      <c r="GY95" s="30"/>
      <c r="GZ95" s="30"/>
      <c r="HA95" s="30"/>
      <c r="HB95" s="30"/>
      <c r="HC95" s="30"/>
      <c r="HD95" s="30"/>
      <c r="HE95" s="30"/>
      <c r="HF95" s="30"/>
      <c r="HG95" s="30"/>
      <c r="HH95" s="30"/>
      <c r="HI95" s="12"/>
      <c r="HJ95" s="12"/>
      <c r="HK95" s="12"/>
      <c r="HL95" s="12"/>
      <c r="HM95" s="12"/>
      <c r="HN95" s="12"/>
    </row>
    <row r="96" ht="13.5" customHeight="1">
      <c r="A96" s="12"/>
      <c r="B96" s="12"/>
      <c r="C96" s="12"/>
      <c r="D96" s="12"/>
      <c r="E96" s="42"/>
      <c r="F96" s="12"/>
      <c r="G96" s="12"/>
      <c r="H96" s="43"/>
      <c r="I96" s="12"/>
      <c r="J96" s="12"/>
      <c r="K96" s="43"/>
      <c r="L96" s="30"/>
      <c r="M96" s="25"/>
      <c r="N96" s="12"/>
      <c r="O96" s="12"/>
      <c r="P96" s="12"/>
      <c r="Q96" s="44"/>
      <c r="R96" s="12"/>
      <c r="S96" s="12"/>
      <c r="T96" s="12"/>
      <c r="U96" s="43"/>
      <c r="V96" s="44"/>
      <c r="W96" s="12"/>
      <c r="X96" s="12"/>
      <c r="Y96" s="12"/>
      <c r="Z96" s="43"/>
      <c r="AA96" s="43"/>
      <c r="AB96" s="12"/>
      <c r="AC96" s="12"/>
      <c r="AD96" s="12"/>
      <c r="AE96" s="12"/>
      <c r="AF96" s="12"/>
      <c r="AG96" s="12"/>
      <c r="AH96" s="12"/>
      <c r="AI96" s="12"/>
      <c r="AJ96" s="42"/>
      <c r="AK96" s="12"/>
      <c r="AL96" s="12"/>
      <c r="AM96" s="12"/>
      <c r="AN96" s="43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45"/>
      <c r="BV96" s="25"/>
      <c r="BW96" s="25"/>
      <c r="BX96" s="25"/>
      <c r="BY96" s="25"/>
      <c r="BZ96" s="25"/>
      <c r="CA96" s="25"/>
      <c r="CB96" s="26"/>
      <c r="CC96" s="26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46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25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30"/>
      <c r="GP96" s="30"/>
      <c r="GQ96" s="12"/>
      <c r="GR96" s="30"/>
      <c r="GS96" s="12"/>
      <c r="GT96" s="12"/>
      <c r="GU96" s="25"/>
      <c r="GV96" s="12"/>
      <c r="GW96" s="12"/>
      <c r="GX96" s="30"/>
      <c r="GY96" s="30"/>
      <c r="GZ96" s="30"/>
      <c r="HA96" s="30"/>
      <c r="HB96" s="30"/>
      <c r="HC96" s="30"/>
      <c r="HD96" s="30"/>
      <c r="HE96" s="30"/>
      <c r="HF96" s="30"/>
      <c r="HG96" s="30"/>
      <c r="HH96" s="30"/>
      <c r="HI96" s="12"/>
      <c r="HJ96" s="12"/>
      <c r="HK96" s="12"/>
      <c r="HL96" s="12"/>
      <c r="HM96" s="12"/>
      <c r="HN96" s="12"/>
    </row>
    <row r="97" ht="13.5" customHeight="1">
      <c r="A97" s="12"/>
      <c r="B97" s="12"/>
      <c r="C97" s="12"/>
      <c r="D97" s="12"/>
      <c r="E97" s="42"/>
      <c r="F97" s="12"/>
      <c r="G97" s="12"/>
      <c r="H97" s="43"/>
      <c r="I97" s="12"/>
      <c r="J97" s="12"/>
      <c r="K97" s="43"/>
      <c r="L97" s="30"/>
      <c r="M97" s="25"/>
      <c r="N97" s="12"/>
      <c r="O97" s="12"/>
      <c r="P97" s="12"/>
      <c r="Q97" s="44"/>
      <c r="R97" s="12"/>
      <c r="S97" s="12"/>
      <c r="T97" s="12"/>
      <c r="U97" s="43"/>
      <c r="V97" s="44"/>
      <c r="W97" s="12"/>
      <c r="X97" s="12"/>
      <c r="Y97" s="12"/>
      <c r="Z97" s="43"/>
      <c r="AA97" s="43"/>
      <c r="AB97" s="12"/>
      <c r="AC97" s="12"/>
      <c r="AD97" s="12"/>
      <c r="AE97" s="12"/>
      <c r="AF97" s="12"/>
      <c r="AG97" s="12"/>
      <c r="AH97" s="12"/>
      <c r="AI97" s="12"/>
      <c r="AJ97" s="42"/>
      <c r="AK97" s="12"/>
      <c r="AL97" s="12"/>
      <c r="AM97" s="12"/>
      <c r="AN97" s="43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45"/>
      <c r="BV97" s="25"/>
      <c r="BW97" s="25"/>
      <c r="BX97" s="25"/>
      <c r="BY97" s="25"/>
      <c r="BZ97" s="25"/>
      <c r="CA97" s="25"/>
      <c r="CB97" s="26"/>
      <c r="CC97" s="26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46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25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30"/>
      <c r="GP97" s="30"/>
      <c r="GQ97" s="12"/>
      <c r="GR97" s="30"/>
      <c r="GS97" s="12"/>
      <c r="GT97" s="12"/>
      <c r="GU97" s="25"/>
      <c r="GV97" s="12"/>
      <c r="GW97" s="12"/>
      <c r="GX97" s="30"/>
      <c r="GY97" s="30"/>
      <c r="GZ97" s="30"/>
      <c r="HA97" s="30"/>
      <c r="HB97" s="30"/>
      <c r="HC97" s="30"/>
      <c r="HD97" s="30"/>
      <c r="HE97" s="30"/>
      <c r="HF97" s="30"/>
      <c r="HG97" s="30"/>
      <c r="HH97" s="30"/>
      <c r="HI97" s="12"/>
      <c r="HJ97" s="12"/>
      <c r="HK97" s="12"/>
      <c r="HL97" s="12"/>
      <c r="HM97" s="12"/>
      <c r="HN97" s="12"/>
    </row>
    <row r="98" ht="13.5" customHeight="1">
      <c r="A98" s="12"/>
      <c r="B98" s="12"/>
      <c r="C98" s="12"/>
      <c r="D98" s="12"/>
      <c r="E98" s="42"/>
      <c r="F98" s="12"/>
      <c r="G98" s="12"/>
      <c r="H98" s="43"/>
      <c r="I98" s="12"/>
      <c r="J98" s="12"/>
      <c r="K98" s="43"/>
      <c r="L98" s="30"/>
      <c r="M98" s="25"/>
      <c r="N98" s="12"/>
      <c r="O98" s="12"/>
      <c r="P98" s="12"/>
      <c r="Q98" s="44"/>
      <c r="R98" s="12"/>
      <c r="S98" s="12"/>
      <c r="T98" s="12"/>
      <c r="U98" s="43"/>
      <c r="V98" s="44"/>
      <c r="W98" s="12"/>
      <c r="X98" s="12"/>
      <c r="Y98" s="12"/>
      <c r="Z98" s="43"/>
      <c r="AA98" s="43"/>
      <c r="AB98" s="12"/>
      <c r="AC98" s="12"/>
      <c r="AD98" s="12"/>
      <c r="AE98" s="12"/>
      <c r="AF98" s="12"/>
      <c r="AG98" s="12"/>
      <c r="AH98" s="12"/>
      <c r="AI98" s="12"/>
      <c r="AJ98" s="42"/>
      <c r="AK98" s="12"/>
      <c r="AL98" s="12"/>
      <c r="AM98" s="12"/>
      <c r="AN98" s="43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45"/>
      <c r="BV98" s="25"/>
      <c r="BW98" s="25"/>
      <c r="BX98" s="25"/>
      <c r="BY98" s="25"/>
      <c r="BZ98" s="25"/>
      <c r="CA98" s="25"/>
      <c r="CB98" s="26"/>
      <c r="CC98" s="26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46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25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30"/>
      <c r="GP98" s="30"/>
      <c r="GQ98" s="12"/>
      <c r="GR98" s="30"/>
      <c r="GS98" s="12"/>
      <c r="GT98" s="12"/>
      <c r="GU98" s="25"/>
      <c r="GV98" s="12"/>
      <c r="GW98" s="12"/>
      <c r="GX98" s="30"/>
      <c r="GY98" s="30"/>
      <c r="GZ98" s="30"/>
      <c r="HA98" s="30"/>
      <c r="HB98" s="30"/>
      <c r="HC98" s="30"/>
      <c r="HD98" s="30"/>
      <c r="HE98" s="30"/>
      <c r="HF98" s="30"/>
      <c r="HG98" s="30"/>
      <c r="HH98" s="30"/>
      <c r="HI98" s="12"/>
      <c r="HJ98" s="12"/>
      <c r="HK98" s="12"/>
      <c r="HL98" s="12"/>
      <c r="HM98" s="12"/>
      <c r="HN98" s="12"/>
    </row>
    <row r="99" ht="13.5" customHeight="1">
      <c r="A99" s="12"/>
      <c r="B99" s="12"/>
      <c r="C99" s="12"/>
      <c r="D99" s="12"/>
      <c r="E99" s="42"/>
      <c r="F99" s="12"/>
      <c r="G99" s="12"/>
      <c r="H99" s="43"/>
      <c r="I99" s="12"/>
      <c r="J99" s="12"/>
      <c r="K99" s="43"/>
      <c r="L99" s="30"/>
      <c r="M99" s="25"/>
      <c r="N99" s="12"/>
      <c r="O99" s="12"/>
      <c r="P99" s="12"/>
      <c r="Q99" s="44"/>
      <c r="R99" s="12"/>
      <c r="S99" s="12"/>
      <c r="T99" s="12"/>
      <c r="U99" s="43"/>
      <c r="V99" s="44"/>
      <c r="W99" s="12"/>
      <c r="X99" s="12"/>
      <c r="Y99" s="12"/>
      <c r="Z99" s="43"/>
      <c r="AA99" s="43"/>
      <c r="AB99" s="12"/>
      <c r="AC99" s="12"/>
      <c r="AD99" s="12"/>
      <c r="AE99" s="12"/>
      <c r="AF99" s="12"/>
      <c r="AG99" s="12"/>
      <c r="AH99" s="12"/>
      <c r="AI99" s="12"/>
      <c r="AJ99" s="42"/>
      <c r="AK99" s="12"/>
      <c r="AL99" s="12"/>
      <c r="AM99" s="12"/>
      <c r="AN99" s="43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45"/>
      <c r="BV99" s="25"/>
      <c r="BW99" s="25"/>
      <c r="BX99" s="25"/>
      <c r="BY99" s="25"/>
      <c r="BZ99" s="25"/>
      <c r="CA99" s="25"/>
      <c r="CB99" s="26"/>
      <c r="CC99" s="26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46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25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30"/>
      <c r="GP99" s="30"/>
      <c r="GQ99" s="12"/>
      <c r="GR99" s="30"/>
      <c r="GS99" s="12"/>
      <c r="GT99" s="12"/>
      <c r="GU99" s="25"/>
      <c r="GV99" s="12"/>
      <c r="GW99" s="12"/>
      <c r="GX99" s="30"/>
      <c r="GY99" s="30"/>
      <c r="GZ99" s="30"/>
      <c r="HA99" s="30"/>
      <c r="HB99" s="30"/>
      <c r="HC99" s="30"/>
      <c r="HD99" s="30"/>
      <c r="HE99" s="30"/>
      <c r="HF99" s="30"/>
      <c r="HG99" s="30"/>
      <c r="HH99" s="30"/>
      <c r="HI99" s="12"/>
      <c r="HJ99" s="12"/>
      <c r="HK99" s="12"/>
      <c r="HL99" s="12"/>
      <c r="HM99" s="12"/>
      <c r="HN99" s="12"/>
    </row>
    <row r="100" ht="13.5" customHeight="1">
      <c r="A100" s="12"/>
      <c r="B100" s="12"/>
      <c r="C100" s="12"/>
      <c r="D100" s="12"/>
      <c r="E100" s="42"/>
      <c r="F100" s="12"/>
      <c r="G100" s="12"/>
      <c r="H100" s="43"/>
      <c r="I100" s="12"/>
      <c r="J100" s="12"/>
      <c r="K100" s="43"/>
      <c r="L100" s="30"/>
      <c r="M100" s="25"/>
      <c r="N100" s="12"/>
      <c r="O100" s="12"/>
      <c r="P100" s="12"/>
      <c r="Q100" s="44"/>
      <c r="R100" s="12"/>
      <c r="S100" s="12"/>
      <c r="T100" s="12"/>
      <c r="U100" s="43"/>
      <c r="V100" s="44"/>
      <c r="W100" s="12"/>
      <c r="X100" s="12"/>
      <c r="Y100" s="12"/>
      <c r="Z100" s="43"/>
      <c r="AA100" s="43"/>
      <c r="AB100" s="12"/>
      <c r="AC100" s="12"/>
      <c r="AD100" s="12"/>
      <c r="AE100" s="12"/>
      <c r="AF100" s="12"/>
      <c r="AG100" s="12"/>
      <c r="AH100" s="12"/>
      <c r="AI100" s="12"/>
      <c r="AJ100" s="42"/>
      <c r="AK100" s="12"/>
      <c r="AL100" s="12"/>
      <c r="AM100" s="12"/>
      <c r="AN100" s="43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45"/>
      <c r="BV100" s="25"/>
      <c r="BW100" s="25"/>
      <c r="BX100" s="25"/>
      <c r="BY100" s="25"/>
      <c r="BZ100" s="25"/>
      <c r="CA100" s="25"/>
      <c r="CB100" s="26"/>
      <c r="CC100" s="26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46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25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30"/>
      <c r="GP100" s="30"/>
      <c r="GQ100" s="12"/>
      <c r="GR100" s="30"/>
      <c r="GS100" s="12"/>
      <c r="GT100" s="12"/>
      <c r="GU100" s="25"/>
      <c r="GV100" s="12"/>
      <c r="GW100" s="12"/>
      <c r="GX100" s="30"/>
      <c r="GY100" s="30"/>
      <c r="GZ100" s="30"/>
      <c r="HA100" s="30"/>
      <c r="HB100" s="30"/>
      <c r="HC100" s="30"/>
      <c r="HD100" s="30"/>
      <c r="HE100" s="30"/>
      <c r="HF100" s="30"/>
      <c r="HG100" s="30"/>
      <c r="HH100" s="30"/>
      <c r="HI100" s="12"/>
      <c r="HJ100" s="12"/>
      <c r="HK100" s="12"/>
      <c r="HL100" s="12"/>
      <c r="HM100" s="12"/>
      <c r="HN100" s="12"/>
    </row>
    <row r="101" ht="13.5" customHeight="1">
      <c r="A101" s="12"/>
      <c r="B101" s="12"/>
      <c r="C101" s="12"/>
      <c r="D101" s="12"/>
      <c r="E101" s="42"/>
      <c r="F101" s="12"/>
      <c r="G101" s="12"/>
      <c r="H101" s="43"/>
      <c r="I101" s="12"/>
      <c r="J101" s="12"/>
      <c r="K101" s="43"/>
      <c r="L101" s="30"/>
      <c r="M101" s="25"/>
      <c r="N101" s="12"/>
      <c r="O101" s="12"/>
      <c r="P101" s="12"/>
      <c r="Q101" s="44"/>
      <c r="R101" s="12"/>
      <c r="S101" s="12"/>
      <c r="T101" s="12"/>
      <c r="U101" s="43"/>
      <c r="V101" s="44"/>
      <c r="W101" s="12"/>
      <c r="X101" s="12"/>
      <c r="Y101" s="12"/>
      <c r="Z101" s="43"/>
      <c r="AA101" s="43"/>
      <c r="AB101" s="12"/>
      <c r="AC101" s="12"/>
      <c r="AD101" s="12"/>
      <c r="AE101" s="12"/>
      <c r="AF101" s="12"/>
      <c r="AG101" s="12"/>
      <c r="AH101" s="12"/>
      <c r="AI101" s="12"/>
      <c r="AJ101" s="42"/>
      <c r="AK101" s="12"/>
      <c r="AL101" s="12"/>
      <c r="AM101" s="12"/>
      <c r="AN101" s="43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45"/>
      <c r="BV101" s="25"/>
      <c r="BW101" s="25"/>
      <c r="BX101" s="25"/>
      <c r="BY101" s="25"/>
      <c r="BZ101" s="25"/>
      <c r="CA101" s="25"/>
      <c r="CB101" s="26"/>
      <c r="CC101" s="26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46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25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30"/>
      <c r="GP101" s="30"/>
      <c r="GQ101" s="12"/>
      <c r="GR101" s="30"/>
      <c r="GS101" s="12"/>
      <c r="GT101" s="12"/>
      <c r="GU101" s="25"/>
      <c r="GV101" s="12"/>
      <c r="GW101" s="12"/>
      <c r="GX101" s="30"/>
      <c r="GY101" s="30"/>
      <c r="GZ101" s="30"/>
      <c r="HA101" s="30"/>
      <c r="HB101" s="30"/>
      <c r="HC101" s="30"/>
      <c r="HD101" s="30"/>
      <c r="HE101" s="30"/>
      <c r="HF101" s="30"/>
      <c r="HG101" s="30"/>
      <c r="HH101" s="30"/>
      <c r="HI101" s="12"/>
      <c r="HJ101" s="12"/>
      <c r="HK101" s="12"/>
      <c r="HL101" s="12"/>
      <c r="HM101" s="12"/>
      <c r="HN101" s="12"/>
    </row>
    <row r="102" ht="13.5" customHeight="1">
      <c r="A102" s="12"/>
      <c r="B102" s="12"/>
      <c r="C102" s="12"/>
      <c r="D102" s="12"/>
      <c r="E102" s="42"/>
      <c r="F102" s="12"/>
      <c r="G102" s="12"/>
      <c r="H102" s="43"/>
      <c r="I102" s="12"/>
      <c r="J102" s="12"/>
      <c r="K102" s="43"/>
      <c r="L102" s="30"/>
      <c r="M102" s="25"/>
      <c r="N102" s="12"/>
      <c r="O102" s="12"/>
      <c r="P102" s="12"/>
      <c r="Q102" s="44"/>
      <c r="R102" s="12"/>
      <c r="S102" s="12"/>
      <c r="T102" s="12"/>
      <c r="U102" s="43"/>
      <c r="V102" s="44"/>
      <c r="W102" s="12"/>
      <c r="X102" s="12"/>
      <c r="Y102" s="12"/>
      <c r="Z102" s="43"/>
      <c r="AA102" s="43"/>
      <c r="AB102" s="12"/>
      <c r="AC102" s="12"/>
      <c r="AD102" s="12"/>
      <c r="AE102" s="12"/>
      <c r="AF102" s="12"/>
      <c r="AG102" s="12"/>
      <c r="AH102" s="12"/>
      <c r="AI102" s="12"/>
      <c r="AJ102" s="42"/>
      <c r="AK102" s="12"/>
      <c r="AL102" s="12"/>
      <c r="AM102" s="12"/>
      <c r="AN102" s="43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45"/>
      <c r="BV102" s="25"/>
      <c r="BW102" s="25"/>
      <c r="BX102" s="25"/>
      <c r="BY102" s="25"/>
      <c r="BZ102" s="25"/>
      <c r="CA102" s="25"/>
      <c r="CB102" s="26"/>
      <c r="CC102" s="26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46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25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30"/>
      <c r="GP102" s="30"/>
      <c r="GQ102" s="12"/>
      <c r="GR102" s="30"/>
      <c r="GS102" s="12"/>
      <c r="GT102" s="12"/>
      <c r="GU102" s="25"/>
      <c r="GV102" s="12"/>
      <c r="GW102" s="12"/>
      <c r="GX102" s="30"/>
      <c r="GY102" s="30"/>
      <c r="GZ102" s="30"/>
      <c r="HA102" s="30"/>
      <c r="HB102" s="30"/>
      <c r="HC102" s="30"/>
      <c r="HD102" s="30"/>
      <c r="HE102" s="30"/>
      <c r="HF102" s="30"/>
      <c r="HG102" s="30"/>
      <c r="HH102" s="30"/>
      <c r="HI102" s="12"/>
      <c r="HJ102" s="12"/>
      <c r="HK102" s="12"/>
      <c r="HL102" s="12"/>
      <c r="HM102" s="12"/>
      <c r="HN102" s="12"/>
    </row>
    <row r="103" ht="13.5" customHeight="1">
      <c r="A103" s="12"/>
      <c r="B103" s="12"/>
      <c r="C103" s="12"/>
      <c r="D103" s="12"/>
      <c r="E103" s="42"/>
      <c r="F103" s="12"/>
      <c r="G103" s="12"/>
      <c r="H103" s="43"/>
      <c r="I103" s="12"/>
      <c r="J103" s="12"/>
      <c r="K103" s="43"/>
      <c r="L103" s="30"/>
      <c r="M103" s="25"/>
      <c r="N103" s="12"/>
      <c r="O103" s="12"/>
      <c r="P103" s="12"/>
      <c r="Q103" s="44"/>
      <c r="R103" s="12"/>
      <c r="S103" s="12"/>
      <c r="T103" s="12"/>
      <c r="U103" s="43"/>
      <c r="V103" s="44"/>
      <c r="W103" s="12"/>
      <c r="X103" s="12"/>
      <c r="Y103" s="12"/>
      <c r="Z103" s="43"/>
      <c r="AA103" s="43"/>
      <c r="AB103" s="12"/>
      <c r="AC103" s="12"/>
      <c r="AD103" s="12"/>
      <c r="AE103" s="12"/>
      <c r="AF103" s="12"/>
      <c r="AG103" s="12"/>
      <c r="AH103" s="12"/>
      <c r="AI103" s="12"/>
      <c r="AJ103" s="42"/>
      <c r="AK103" s="12"/>
      <c r="AL103" s="12"/>
      <c r="AM103" s="12"/>
      <c r="AN103" s="43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45"/>
      <c r="BV103" s="25"/>
      <c r="BW103" s="25"/>
      <c r="BX103" s="25"/>
      <c r="BY103" s="25"/>
      <c r="BZ103" s="25"/>
      <c r="CA103" s="25"/>
      <c r="CB103" s="26"/>
      <c r="CC103" s="26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46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25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30"/>
      <c r="GP103" s="30"/>
      <c r="GQ103" s="12"/>
      <c r="GR103" s="30"/>
      <c r="GS103" s="12"/>
      <c r="GT103" s="12"/>
      <c r="GU103" s="25"/>
      <c r="GV103" s="12"/>
      <c r="GW103" s="12"/>
      <c r="GX103" s="30"/>
      <c r="GY103" s="30"/>
      <c r="GZ103" s="30"/>
      <c r="HA103" s="30"/>
      <c r="HB103" s="30"/>
      <c r="HC103" s="30"/>
      <c r="HD103" s="30"/>
      <c r="HE103" s="30"/>
      <c r="HF103" s="30"/>
      <c r="HG103" s="30"/>
      <c r="HH103" s="30"/>
      <c r="HI103" s="12"/>
      <c r="HJ103" s="12"/>
      <c r="HK103" s="12"/>
      <c r="HL103" s="12"/>
      <c r="HM103" s="12"/>
      <c r="HN103" s="12"/>
    </row>
    <row r="104" ht="13.5" customHeight="1">
      <c r="A104" s="12"/>
      <c r="B104" s="12"/>
      <c r="C104" s="12"/>
      <c r="D104" s="12"/>
      <c r="E104" s="42"/>
      <c r="F104" s="12"/>
      <c r="G104" s="12"/>
      <c r="H104" s="43"/>
      <c r="I104" s="12"/>
      <c r="J104" s="12"/>
      <c r="K104" s="43"/>
      <c r="L104" s="30"/>
      <c r="M104" s="25"/>
      <c r="N104" s="12"/>
      <c r="O104" s="12"/>
      <c r="P104" s="12"/>
      <c r="Q104" s="44"/>
      <c r="R104" s="12"/>
      <c r="S104" s="12"/>
      <c r="T104" s="12"/>
      <c r="U104" s="43"/>
      <c r="V104" s="44"/>
      <c r="W104" s="12"/>
      <c r="X104" s="12"/>
      <c r="Y104" s="12"/>
      <c r="Z104" s="43"/>
      <c r="AA104" s="43"/>
      <c r="AB104" s="12"/>
      <c r="AC104" s="12"/>
      <c r="AD104" s="12"/>
      <c r="AE104" s="12"/>
      <c r="AF104" s="12"/>
      <c r="AG104" s="12"/>
      <c r="AH104" s="12"/>
      <c r="AI104" s="12"/>
      <c r="AJ104" s="42"/>
      <c r="AK104" s="12"/>
      <c r="AL104" s="12"/>
      <c r="AM104" s="12"/>
      <c r="AN104" s="43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45"/>
      <c r="BV104" s="25"/>
      <c r="BW104" s="25"/>
      <c r="BX104" s="25"/>
      <c r="BY104" s="25"/>
      <c r="BZ104" s="25"/>
      <c r="CA104" s="25"/>
      <c r="CB104" s="26"/>
      <c r="CC104" s="26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46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25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30"/>
      <c r="GP104" s="30"/>
      <c r="GQ104" s="12"/>
      <c r="GR104" s="30"/>
      <c r="GS104" s="12"/>
      <c r="GT104" s="12"/>
      <c r="GU104" s="25"/>
      <c r="GV104" s="12"/>
      <c r="GW104" s="12"/>
      <c r="GX104" s="30"/>
      <c r="GY104" s="30"/>
      <c r="GZ104" s="30"/>
      <c r="HA104" s="30"/>
      <c r="HB104" s="30"/>
      <c r="HC104" s="30"/>
      <c r="HD104" s="30"/>
      <c r="HE104" s="30"/>
      <c r="HF104" s="30"/>
      <c r="HG104" s="30"/>
      <c r="HH104" s="30"/>
      <c r="HI104" s="12"/>
      <c r="HJ104" s="12"/>
      <c r="HK104" s="12"/>
      <c r="HL104" s="12"/>
      <c r="HM104" s="12"/>
      <c r="HN104" s="12"/>
    </row>
    <row r="105" ht="13.5" customHeight="1">
      <c r="A105" s="12"/>
      <c r="B105" s="12"/>
      <c r="C105" s="12"/>
      <c r="D105" s="12"/>
      <c r="E105" s="42"/>
      <c r="F105" s="12"/>
      <c r="G105" s="12"/>
      <c r="H105" s="43"/>
      <c r="I105" s="12"/>
      <c r="J105" s="12"/>
      <c r="K105" s="43"/>
      <c r="L105" s="30"/>
      <c r="M105" s="25"/>
      <c r="N105" s="12"/>
      <c r="O105" s="12"/>
      <c r="P105" s="12"/>
      <c r="Q105" s="44"/>
      <c r="R105" s="12"/>
      <c r="S105" s="12"/>
      <c r="T105" s="12"/>
      <c r="U105" s="43"/>
      <c r="V105" s="44"/>
      <c r="W105" s="12"/>
      <c r="X105" s="12"/>
      <c r="Y105" s="12"/>
      <c r="Z105" s="43"/>
      <c r="AA105" s="43"/>
      <c r="AB105" s="12"/>
      <c r="AC105" s="12"/>
      <c r="AD105" s="12"/>
      <c r="AE105" s="12"/>
      <c r="AF105" s="12"/>
      <c r="AG105" s="12"/>
      <c r="AH105" s="12"/>
      <c r="AI105" s="12"/>
      <c r="AJ105" s="42"/>
      <c r="AK105" s="12"/>
      <c r="AL105" s="12"/>
      <c r="AM105" s="12"/>
      <c r="AN105" s="43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45"/>
      <c r="BV105" s="25"/>
      <c r="BW105" s="25"/>
      <c r="BX105" s="25"/>
      <c r="BY105" s="25"/>
      <c r="BZ105" s="25"/>
      <c r="CA105" s="25"/>
      <c r="CB105" s="26"/>
      <c r="CC105" s="26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46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25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30"/>
      <c r="GP105" s="30"/>
      <c r="GQ105" s="12"/>
      <c r="GR105" s="30"/>
      <c r="GS105" s="12"/>
      <c r="GT105" s="12"/>
      <c r="GU105" s="25"/>
      <c r="GV105" s="12"/>
      <c r="GW105" s="12"/>
      <c r="GX105" s="30"/>
      <c r="GY105" s="30"/>
      <c r="GZ105" s="30"/>
      <c r="HA105" s="30"/>
      <c r="HB105" s="30"/>
      <c r="HC105" s="30"/>
      <c r="HD105" s="30"/>
      <c r="HE105" s="30"/>
      <c r="HF105" s="30"/>
      <c r="HG105" s="30"/>
      <c r="HH105" s="30"/>
      <c r="HI105" s="12"/>
      <c r="HJ105" s="12"/>
      <c r="HK105" s="12"/>
      <c r="HL105" s="12"/>
      <c r="HM105" s="12"/>
      <c r="HN105" s="12"/>
    </row>
    <row r="106" ht="13.5" customHeight="1">
      <c r="A106" s="12"/>
      <c r="B106" s="12"/>
      <c r="C106" s="12"/>
      <c r="D106" s="12"/>
      <c r="E106" s="42"/>
      <c r="F106" s="12"/>
      <c r="G106" s="12"/>
      <c r="H106" s="43"/>
      <c r="I106" s="12"/>
      <c r="J106" s="12"/>
      <c r="K106" s="43"/>
      <c r="L106" s="30"/>
      <c r="M106" s="25"/>
      <c r="N106" s="12"/>
      <c r="O106" s="12"/>
      <c r="P106" s="12"/>
      <c r="Q106" s="44"/>
      <c r="R106" s="12"/>
      <c r="S106" s="12"/>
      <c r="T106" s="12"/>
      <c r="U106" s="43"/>
      <c r="V106" s="44"/>
      <c r="W106" s="12"/>
      <c r="X106" s="12"/>
      <c r="Y106" s="12"/>
      <c r="Z106" s="43"/>
      <c r="AA106" s="43"/>
      <c r="AB106" s="12"/>
      <c r="AC106" s="12"/>
      <c r="AD106" s="12"/>
      <c r="AE106" s="12"/>
      <c r="AF106" s="12"/>
      <c r="AG106" s="12"/>
      <c r="AH106" s="12"/>
      <c r="AI106" s="12"/>
      <c r="AJ106" s="42"/>
      <c r="AK106" s="12"/>
      <c r="AL106" s="12"/>
      <c r="AM106" s="12"/>
      <c r="AN106" s="43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45"/>
      <c r="BV106" s="25"/>
      <c r="BW106" s="25"/>
      <c r="BX106" s="25"/>
      <c r="BY106" s="25"/>
      <c r="BZ106" s="25"/>
      <c r="CA106" s="25"/>
      <c r="CB106" s="26"/>
      <c r="CC106" s="26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46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25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30"/>
      <c r="GP106" s="30"/>
      <c r="GQ106" s="12"/>
      <c r="GR106" s="30"/>
      <c r="GS106" s="12"/>
      <c r="GT106" s="12"/>
      <c r="GU106" s="25"/>
      <c r="GV106" s="12"/>
      <c r="GW106" s="12"/>
      <c r="GX106" s="30"/>
      <c r="GY106" s="30"/>
      <c r="GZ106" s="30"/>
      <c r="HA106" s="30"/>
      <c r="HB106" s="30"/>
      <c r="HC106" s="30"/>
      <c r="HD106" s="30"/>
      <c r="HE106" s="30"/>
      <c r="HF106" s="30"/>
      <c r="HG106" s="30"/>
      <c r="HH106" s="30"/>
      <c r="HI106" s="12"/>
      <c r="HJ106" s="12"/>
      <c r="HK106" s="12"/>
      <c r="HL106" s="12"/>
      <c r="HM106" s="12"/>
      <c r="HN106" s="12"/>
    </row>
    <row r="107" ht="13.5" customHeight="1">
      <c r="A107" s="12"/>
      <c r="B107" s="12"/>
      <c r="C107" s="12"/>
      <c r="D107" s="12"/>
      <c r="E107" s="42"/>
      <c r="F107" s="12"/>
      <c r="G107" s="12"/>
      <c r="H107" s="43"/>
      <c r="I107" s="12"/>
      <c r="J107" s="12"/>
      <c r="K107" s="43"/>
      <c r="L107" s="30"/>
      <c r="M107" s="25"/>
      <c r="N107" s="12"/>
      <c r="O107" s="12"/>
      <c r="P107" s="12"/>
      <c r="Q107" s="44"/>
      <c r="R107" s="12"/>
      <c r="S107" s="12"/>
      <c r="T107" s="12"/>
      <c r="U107" s="43"/>
      <c r="V107" s="44"/>
      <c r="W107" s="12"/>
      <c r="X107" s="12"/>
      <c r="Y107" s="12"/>
      <c r="Z107" s="43"/>
      <c r="AA107" s="43"/>
      <c r="AB107" s="12"/>
      <c r="AC107" s="12"/>
      <c r="AD107" s="12"/>
      <c r="AE107" s="12"/>
      <c r="AF107" s="12"/>
      <c r="AG107" s="12"/>
      <c r="AH107" s="12"/>
      <c r="AI107" s="12"/>
      <c r="AJ107" s="42"/>
      <c r="AK107" s="12"/>
      <c r="AL107" s="12"/>
      <c r="AM107" s="12"/>
      <c r="AN107" s="43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45"/>
      <c r="BV107" s="25"/>
      <c r="BW107" s="25"/>
      <c r="BX107" s="25"/>
      <c r="BY107" s="25"/>
      <c r="BZ107" s="25"/>
      <c r="CA107" s="25"/>
      <c r="CB107" s="26"/>
      <c r="CC107" s="26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46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25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30"/>
      <c r="GP107" s="30"/>
      <c r="GQ107" s="12"/>
      <c r="GR107" s="30"/>
      <c r="GS107" s="12"/>
      <c r="GT107" s="12"/>
      <c r="GU107" s="25"/>
      <c r="GV107" s="12"/>
      <c r="GW107" s="12"/>
      <c r="GX107" s="30"/>
      <c r="GY107" s="30"/>
      <c r="GZ107" s="30"/>
      <c r="HA107" s="30"/>
      <c r="HB107" s="30"/>
      <c r="HC107" s="30"/>
      <c r="HD107" s="30"/>
      <c r="HE107" s="30"/>
      <c r="HF107" s="30"/>
      <c r="HG107" s="30"/>
      <c r="HH107" s="30"/>
      <c r="HI107" s="12"/>
      <c r="HJ107" s="12"/>
      <c r="HK107" s="12"/>
      <c r="HL107" s="12"/>
      <c r="HM107" s="12"/>
      <c r="HN107" s="12"/>
    </row>
    <row r="108" ht="13.5" customHeight="1">
      <c r="A108" s="12"/>
      <c r="B108" s="12"/>
      <c r="C108" s="12"/>
      <c r="D108" s="12"/>
      <c r="E108" s="42"/>
      <c r="F108" s="12"/>
      <c r="G108" s="12"/>
      <c r="H108" s="43"/>
      <c r="I108" s="12"/>
      <c r="J108" s="12"/>
      <c r="K108" s="43"/>
      <c r="L108" s="30"/>
      <c r="M108" s="25"/>
      <c r="N108" s="12"/>
      <c r="O108" s="12"/>
      <c r="P108" s="12"/>
      <c r="Q108" s="44"/>
      <c r="R108" s="12"/>
      <c r="S108" s="12"/>
      <c r="T108" s="12"/>
      <c r="U108" s="43"/>
      <c r="V108" s="44"/>
      <c r="W108" s="12"/>
      <c r="X108" s="12"/>
      <c r="Y108" s="12"/>
      <c r="Z108" s="43"/>
      <c r="AA108" s="43"/>
      <c r="AB108" s="12"/>
      <c r="AC108" s="12"/>
      <c r="AD108" s="12"/>
      <c r="AE108" s="12"/>
      <c r="AF108" s="12"/>
      <c r="AG108" s="12"/>
      <c r="AH108" s="12"/>
      <c r="AI108" s="12"/>
      <c r="AJ108" s="42"/>
      <c r="AK108" s="12"/>
      <c r="AL108" s="12"/>
      <c r="AM108" s="12"/>
      <c r="AN108" s="43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45"/>
      <c r="BV108" s="25"/>
      <c r="BW108" s="25"/>
      <c r="BX108" s="25"/>
      <c r="BY108" s="25"/>
      <c r="BZ108" s="25"/>
      <c r="CA108" s="25"/>
      <c r="CB108" s="26"/>
      <c r="CC108" s="26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46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25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30"/>
      <c r="GP108" s="30"/>
      <c r="GQ108" s="12"/>
      <c r="GR108" s="30"/>
      <c r="GS108" s="12"/>
      <c r="GT108" s="12"/>
      <c r="GU108" s="25"/>
      <c r="GV108" s="12"/>
      <c r="GW108" s="12"/>
      <c r="GX108" s="30"/>
      <c r="GY108" s="30"/>
      <c r="GZ108" s="30"/>
      <c r="HA108" s="30"/>
      <c r="HB108" s="30"/>
      <c r="HC108" s="30"/>
      <c r="HD108" s="30"/>
      <c r="HE108" s="30"/>
      <c r="HF108" s="30"/>
      <c r="HG108" s="30"/>
      <c r="HH108" s="30"/>
      <c r="HI108" s="12"/>
      <c r="HJ108" s="12"/>
      <c r="HK108" s="12"/>
      <c r="HL108" s="12"/>
      <c r="HM108" s="12"/>
      <c r="HN108" s="12"/>
    </row>
    <row r="109" ht="13.5" customHeight="1">
      <c r="A109" s="12"/>
      <c r="B109" s="12"/>
      <c r="C109" s="12"/>
      <c r="D109" s="12"/>
      <c r="E109" s="42"/>
      <c r="F109" s="12"/>
      <c r="G109" s="12"/>
      <c r="H109" s="43"/>
      <c r="I109" s="12"/>
      <c r="J109" s="12"/>
      <c r="K109" s="43"/>
      <c r="L109" s="30"/>
      <c r="M109" s="25"/>
      <c r="N109" s="12"/>
      <c r="O109" s="12"/>
      <c r="P109" s="12"/>
      <c r="Q109" s="44"/>
      <c r="R109" s="12"/>
      <c r="S109" s="12"/>
      <c r="T109" s="12"/>
      <c r="U109" s="43"/>
      <c r="V109" s="44"/>
      <c r="W109" s="12"/>
      <c r="X109" s="12"/>
      <c r="Y109" s="12"/>
      <c r="Z109" s="43"/>
      <c r="AA109" s="43"/>
      <c r="AB109" s="12"/>
      <c r="AC109" s="12"/>
      <c r="AD109" s="12"/>
      <c r="AE109" s="12"/>
      <c r="AF109" s="12"/>
      <c r="AG109" s="12"/>
      <c r="AH109" s="12"/>
      <c r="AI109" s="12"/>
      <c r="AJ109" s="42"/>
      <c r="AK109" s="12"/>
      <c r="AL109" s="12"/>
      <c r="AM109" s="12"/>
      <c r="AN109" s="43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45"/>
      <c r="BV109" s="25"/>
      <c r="BW109" s="25"/>
      <c r="BX109" s="25"/>
      <c r="BY109" s="25"/>
      <c r="BZ109" s="25"/>
      <c r="CA109" s="25"/>
      <c r="CB109" s="26"/>
      <c r="CC109" s="26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46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25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30"/>
      <c r="GP109" s="30"/>
      <c r="GQ109" s="12"/>
      <c r="GR109" s="30"/>
      <c r="GS109" s="12"/>
      <c r="GT109" s="12"/>
      <c r="GU109" s="25"/>
      <c r="GV109" s="12"/>
      <c r="GW109" s="12"/>
      <c r="GX109" s="30"/>
      <c r="GY109" s="30"/>
      <c r="GZ109" s="30"/>
      <c r="HA109" s="30"/>
      <c r="HB109" s="30"/>
      <c r="HC109" s="30"/>
      <c r="HD109" s="30"/>
      <c r="HE109" s="30"/>
      <c r="HF109" s="30"/>
      <c r="HG109" s="30"/>
      <c r="HH109" s="30"/>
      <c r="HI109" s="12"/>
      <c r="HJ109" s="12"/>
      <c r="HK109" s="12"/>
      <c r="HL109" s="12"/>
      <c r="HM109" s="12"/>
      <c r="HN109" s="12"/>
    </row>
    <row r="110" ht="13.5" customHeight="1">
      <c r="A110" s="12"/>
      <c r="B110" s="12"/>
      <c r="C110" s="12"/>
      <c r="D110" s="12"/>
      <c r="E110" s="42"/>
      <c r="F110" s="12"/>
      <c r="G110" s="12"/>
      <c r="H110" s="43"/>
      <c r="I110" s="12"/>
      <c r="J110" s="12"/>
      <c r="K110" s="43"/>
      <c r="L110" s="30"/>
      <c r="M110" s="25"/>
      <c r="N110" s="12"/>
      <c r="O110" s="12"/>
      <c r="P110" s="12"/>
      <c r="Q110" s="44"/>
      <c r="R110" s="12"/>
      <c r="S110" s="12"/>
      <c r="T110" s="12"/>
      <c r="U110" s="43"/>
      <c r="V110" s="44"/>
      <c r="W110" s="12"/>
      <c r="X110" s="12"/>
      <c r="Y110" s="12"/>
      <c r="Z110" s="43"/>
      <c r="AA110" s="43"/>
      <c r="AB110" s="12"/>
      <c r="AC110" s="12"/>
      <c r="AD110" s="12"/>
      <c r="AE110" s="12"/>
      <c r="AF110" s="12"/>
      <c r="AG110" s="12"/>
      <c r="AH110" s="12"/>
      <c r="AI110" s="12"/>
      <c r="AJ110" s="42"/>
      <c r="AK110" s="12"/>
      <c r="AL110" s="12"/>
      <c r="AM110" s="12"/>
      <c r="AN110" s="43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45"/>
      <c r="BV110" s="25"/>
      <c r="BW110" s="25"/>
      <c r="BX110" s="25"/>
      <c r="BY110" s="25"/>
      <c r="BZ110" s="25"/>
      <c r="CA110" s="25"/>
      <c r="CB110" s="26"/>
      <c r="CC110" s="26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46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25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30"/>
      <c r="GP110" s="30"/>
      <c r="GQ110" s="12"/>
      <c r="GR110" s="30"/>
      <c r="GS110" s="12"/>
      <c r="GT110" s="12"/>
      <c r="GU110" s="25"/>
      <c r="GV110" s="12"/>
      <c r="GW110" s="12"/>
      <c r="GX110" s="30"/>
      <c r="GY110" s="30"/>
      <c r="GZ110" s="30"/>
      <c r="HA110" s="30"/>
      <c r="HB110" s="30"/>
      <c r="HC110" s="30"/>
      <c r="HD110" s="30"/>
      <c r="HE110" s="30"/>
      <c r="HF110" s="30"/>
      <c r="HG110" s="30"/>
      <c r="HH110" s="30"/>
      <c r="HI110" s="12"/>
      <c r="HJ110" s="12"/>
      <c r="HK110" s="12"/>
      <c r="HL110" s="12"/>
      <c r="HM110" s="12"/>
      <c r="HN110" s="12"/>
    </row>
    <row r="111" ht="13.5" customHeight="1">
      <c r="A111" s="12"/>
      <c r="B111" s="12"/>
      <c r="C111" s="12"/>
      <c r="D111" s="12"/>
      <c r="E111" s="42"/>
      <c r="F111" s="12"/>
      <c r="G111" s="12"/>
      <c r="H111" s="43"/>
      <c r="I111" s="12"/>
      <c r="J111" s="12"/>
      <c r="K111" s="43"/>
      <c r="L111" s="30"/>
      <c r="M111" s="25"/>
      <c r="N111" s="12"/>
      <c r="O111" s="12"/>
      <c r="P111" s="12"/>
      <c r="Q111" s="44"/>
      <c r="R111" s="12"/>
      <c r="S111" s="12"/>
      <c r="T111" s="12"/>
      <c r="U111" s="43"/>
      <c r="V111" s="44"/>
      <c r="W111" s="12"/>
      <c r="X111" s="12"/>
      <c r="Y111" s="12"/>
      <c r="Z111" s="43"/>
      <c r="AA111" s="43"/>
      <c r="AB111" s="12"/>
      <c r="AC111" s="12"/>
      <c r="AD111" s="12"/>
      <c r="AE111" s="12"/>
      <c r="AF111" s="12"/>
      <c r="AG111" s="12"/>
      <c r="AH111" s="12"/>
      <c r="AI111" s="12"/>
      <c r="AJ111" s="42"/>
      <c r="AK111" s="12"/>
      <c r="AL111" s="12"/>
      <c r="AM111" s="12"/>
      <c r="AN111" s="43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45"/>
      <c r="BV111" s="25"/>
      <c r="BW111" s="25"/>
      <c r="BX111" s="25"/>
      <c r="BY111" s="25"/>
      <c r="BZ111" s="25"/>
      <c r="CA111" s="25"/>
      <c r="CB111" s="26"/>
      <c r="CC111" s="26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46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25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30"/>
      <c r="GP111" s="30"/>
      <c r="GQ111" s="12"/>
      <c r="GR111" s="30"/>
      <c r="GS111" s="12"/>
      <c r="GT111" s="12"/>
      <c r="GU111" s="25"/>
      <c r="GV111" s="12"/>
      <c r="GW111" s="12"/>
      <c r="GX111" s="30"/>
      <c r="GY111" s="30"/>
      <c r="GZ111" s="30"/>
      <c r="HA111" s="30"/>
      <c r="HB111" s="30"/>
      <c r="HC111" s="30"/>
      <c r="HD111" s="30"/>
      <c r="HE111" s="30"/>
      <c r="HF111" s="30"/>
      <c r="HG111" s="30"/>
      <c r="HH111" s="30"/>
      <c r="HI111" s="12"/>
      <c r="HJ111" s="12"/>
      <c r="HK111" s="12"/>
      <c r="HL111" s="12"/>
      <c r="HM111" s="12"/>
      <c r="HN111" s="12"/>
    </row>
    <row r="112" ht="13.5" customHeight="1">
      <c r="A112" s="12"/>
      <c r="B112" s="12"/>
      <c r="C112" s="12"/>
      <c r="D112" s="12"/>
      <c r="E112" s="42"/>
      <c r="F112" s="12"/>
      <c r="G112" s="12"/>
      <c r="H112" s="43"/>
      <c r="I112" s="12"/>
      <c r="J112" s="12"/>
      <c r="K112" s="43"/>
      <c r="L112" s="30"/>
      <c r="M112" s="25"/>
      <c r="N112" s="12"/>
      <c r="O112" s="12"/>
      <c r="P112" s="12"/>
      <c r="Q112" s="44"/>
      <c r="R112" s="12"/>
      <c r="S112" s="12"/>
      <c r="T112" s="12"/>
      <c r="U112" s="43"/>
      <c r="V112" s="44"/>
      <c r="W112" s="12"/>
      <c r="X112" s="12"/>
      <c r="Y112" s="12"/>
      <c r="Z112" s="43"/>
      <c r="AA112" s="43"/>
      <c r="AB112" s="12"/>
      <c r="AC112" s="12"/>
      <c r="AD112" s="12"/>
      <c r="AE112" s="12"/>
      <c r="AF112" s="12"/>
      <c r="AG112" s="12"/>
      <c r="AH112" s="12"/>
      <c r="AI112" s="12"/>
      <c r="AJ112" s="42"/>
      <c r="AK112" s="12"/>
      <c r="AL112" s="12"/>
      <c r="AM112" s="12"/>
      <c r="AN112" s="43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45"/>
      <c r="BV112" s="25"/>
      <c r="BW112" s="25"/>
      <c r="BX112" s="25"/>
      <c r="BY112" s="25"/>
      <c r="BZ112" s="25"/>
      <c r="CA112" s="25"/>
      <c r="CB112" s="26"/>
      <c r="CC112" s="26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46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25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30"/>
      <c r="GP112" s="30"/>
      <c r="GQ112" s="12"/>
      <c r="GR112" s="30"/>
      <c r="GS112" s="12"/>
      <c r="GT112" s="12"/>
      <c r="GU112" s="25"/>
      <c r="GV112" s="12"/>
      <c r="GW112" s="12"/>
      <c r="GX112" s="30"/>
      <c r="GY112" s="30"/>
      <c r="GZ112" s="30"/>
      <c r="HA112" s="30"/>
      <c r="HB112" s="30"/>
      <c r="HC112" s="30"/>
      <c r="HD112" s="30"/>
      <c r="HE112" s="30"/>
      <c r="HF112" s="30"/>
      <c r="HG112" s="30"/>
      <c r="HH112" s="30"/>
      <c r="HI112" s="12"/>
      <c r="HJ112" s="12"/>
      <c r="HK112" s="12"/>
      <c r="HL112" s="12"/>
      <c r="HM112" s="12"/>
      <c r="HN112" s="12"/>
    </row>
    <row r="113" ht="13.5" customHeight="1">
      <c r="A113" s="12"/>
      <c r="B113" s="12"/>
      <c r="C113" s="12"/>
      <c r="D113" s="12"/>
      <c r="E113" s="42"/>
      <c r="F113" s="12"/>
      <c r="G113" s="12"/>
      <c r="H113" s="43"/>
      <c r="I113" s="12"/>
      <c r="J113" s="12"/>
      <c r="K113" s="43"/>
      <c r="L113" s="30"/>
      <c r="M113" s="25"/>
      <c r="N113" s="12"/>
      <c r="O113" s="12"/>
      <c r="P113" s="12"/>
      <c r="Q113" s="44"/>
      <c r="R113" s="12"/>
      <c r="S113" s="12"/>
      <c r="T113" s="12"/>
      <c r="U113" s="43"/>
      <c r="V113" s="44"/>
      <c r="W113" s="12"/>
      <c r="X113" s="12"/>
      <c r="Y113" s="12"/>
      <c r="Z113" s="43"/>
      <c r="AA113" s="43"/>
      <c r="AB113" s="12"/>
      <c r="AC113" s="12"/>
      <c r="AD113" s="12"/>
      <c r="AE113" s="12"/>
      <c r="AF113" s="12"/>
      <c r="AG113" s="12"/>
      <c r="AH113" s="12"/>
      <c r="AI113" s="12"/>
      <c r="AJ113" s="42"/>
      <c r="AK113" s="12"/>
      <c r="AL113" s="12"/>
      <c r="AM113" s="12"/>
      <c r="AN113" s="43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45"/>
      <c r="BV113" s="25"/>
      <c r="BW113" s="25"/>
      <c r="BX113" s="25"/>
      <c r="BY113" s="25"/>
      <c r="BZ113" s="25"/>
      <c r="CA113" s="25"/>
      <c r="CB113" s="26"/>
      <c r="CC113" s="26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46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25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30"/>
      <c r="GP113" s="30"/>
      <c r="GQ113" s="12"/>
      <c r="GR113" s="30"/>
      <c r="GS113" s="12"/>
      <c r="GT113" s="12"/>
      <c r="GU113" s="25"/>
      <c r="GV113" s="12"/>
      <c r="GW113" s="12"/>
      <c r="GX113" s="30"/>
      <c r="GY113" s="30"/>
      <c r="GZ113" s="30"/>
      <c r="HA113" s="30"/>
      <c r="HB113" s="30"/>
      <c r="HC113" s="30"/>
      <c r="HD113" s="30"/>
      <c r="HE113" s="30"/>
      <c r="HF113" s="30"/>
      <c r="HG113" s="30"/>
      <c r="HH113" s="30"/>
      <c r="HI113" s="12"/>
      <c r="HJ113" s="12"/>
      <c r="HK113" s="12"/>
      <c r="HL113" s="12"/>
      <c r="HM113" s="12"/>
      <c r="HN113" s="12"/>
    </row>
    <row r="114" ht="13.5" customHeight="1">
      <c r="A114" s="12"/>
      <c r="B114" s="12"/>
      <c r="C114" s="12"/>
      <c r="D114" s="12"/>
      <c r="E114" s="42"/>
      <c r="F114" s="12"/>
      <c r="G114" s="12"/>
      <c r="H114" s="43"/>
      <c r="I114" s="12"/>
      <c r="J114" s="12"/>
      <c r="K114" s="43"/>
      <c r="L114" s="30"/>
      <c r="M114" s="25"/>
      <c r="N114" s="12"/>
      <c r="O114" s="12"/>
      <c r="P114" s="12"/>
      <c r="Q114" s="44"/>
      <c r="R114" s="12"/>
      <c r="S114" s="12"/>
      <c r="T114" s="12"/>
      <c r="U114" s="43"/>
      <c r="V114" s="44"/>
      <c r="W114" s="12"/>
      <c r="X114" s="12"/>
      <c r="Y114" s="12"/>
      <c r="Z114" s="43"/>
      <c r="AA114" s="43"/>
      <c r="AB114" s="12"/>
      <c r="AC114" s="12"/>
      <c r="AD114" s="12"/>
      <c r="AE114" s="12"/>
      <c r="AF114" s="12"/>
      <c r="AG114" s="12"/>
      <c r="AH114" s="12"/>
      <c r="AI114" s="12"/>
      <c r="AJ114" s="42"/>
      <c r="AK114" s="12"/>
      <c r="AL114" s="12"/>
      <c r="AM114" s="12"/>
      <c r="AN114" s="43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45"/>
      <c r="BV114" s="25"/>
      <c r="BW114" s="25"/>
      <c r="BX114" s="25"/>
      <c r="BY114" s="25"/>
      <c r="BZ114" s="25"/>
      <c r="CA114" s="25"/>
      <c r="CB114" s="26"/>
      <c r="CC114" s="26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46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25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30"/>
      <c r="GP114" s="30"/>
      <c r="GQ114" s="12"/>
      <c r="GR114" s="30"/>
      <c r="GS114" s="12"/>
      <c r="GT114" s="12"/>
      <c r="GU114" s="25"/>
      <c r="GV114" s="12"/>
      <c r="GW114" s="12"/>
      <c r="GX114" s="30"/>
      <c r="GY114" s="30"/>
      <c r="GZ114" s="30"/>
      <c r="HA114" s="30"/>
      <c r="HB114" s="30"/>
      <c r="HC114" s="30"/>
      <c r="HD114" s="30"/>
      <c r="HE114" s="30"/>
      <c r="HF114" s="30"/>
      <c r="HG114" s="30"/>
      <c r="HH114" s="30"/>
      <c r="HI114" s="12"/>
      <c r="HJ114" s="12"/>
      <c r="HK114" s="12"/>
      <c r="HL114" s="12"/>
      <c r="HM114" s="12"/>
      <c r="HN114" s="12"/>
    </row>
    <row r="115" ht="13.5" customHeight="1">
      <c r="A115" s="12"/>
      <c r="B115" s="12"/>
      <c r="C115" s="12"/>
      <c r="D115" s="12"/>
      <c r="E115" s="42"/>
      <c r="F115" s="12"/>
      <c r="G115" s="12"/>
      <c r="H115" s="43"/>
      <c r="I115" s="12"/>
      <c r="J115" s="12"/>
      <c r="K115" s="43"/>
      <c r="L115" s="30"/>
      <c r="M115" s="25"/>
      <c r="N115" s="12"/>
      <c r="O115" s="12"/>
      <c r="P115" s="12"/>
      <c r="Q115" s="44"/>
      <c r="R115" s="12"/>
      <c r="S115" s="12"/>
      <c r="T115" s="12"/>
      <c r="U115" s="43"/>
      <c r="V115" s="44"/>
      <c r="W115" s="12"/>
      <c r="X115" s="12"/>
      <c r="Y115" s="12"/>
      <c r="Z115" s="43"/>
      <c r="AA115" s="43"/>
      <c r="AB115" s="12"/>
      <c r="AC115" s="12"/>
      <c r="AD115" s="12"/>
      <c r="AE115" s="12"/>
      <c r="AF115" s="12"/>
      <c r="AG115" s="12"/>
      <c r="AH115" s="12"/>
      <c r="AI115" s="12"/>
      <c r="AJ115" s="42"/>
      <c r="AK115" s="12"/>
      <c r="AL115" s="12"/>
      <c r="AM115" s="12"/>
      <c r="AN115" s="43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45"/>
      <c r="BV115" s="25"/>
      <c r="BW115" s="25"/>
      <c r="BX115" s="25"/>
      <c r="BY115" s="25"/>
      <c r="BZ115" s="25"/>
      <c r="CA115" s="25"/>
      <c r="CB115" s="26"/>
      <c r="CC115" s="26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46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25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30"/>
      <c r="GP115" s="30"/>
      <c r="GQ115" s="12"/>
      <c r="GR115" s="30"/>
      <c r="GS115" s="12"/>
      <c r="GT115" s="12"/>
      <c r="GU115" s="25"/>
      <c r="GV115" s="12"/>
      <c r="GW115" s="12"/>
      <c r="GX115" s="30"/>
      <c r="GY115" s="30"/>
      <c r="GZ115" s="30"/>
      <c r="HA115" s="30"/>
      <c r="HB115" s="30"/>
      <c r="HC115" s="30"/>
      <c r="HD115" s="30"/>
      <c r="HE115" s="30"/>
      <c r="HF115" s="30"/>
      <c r="HG115" s="30"/>
      <c r="HH115" s="30"/>
      <c r="HI115" s="12"/>
      <c r="HJ115" s="12"/>
      <c r="HK115" s="12"/>
      <c r="HL115" s="12"/>
      <c r="HM115" s="12"/>
      <c r="HN115" s="12"/>
    </row>
    <row r="116" ht="13.5" customHeight="1">
      <c r="A116" s="12"/>
      <c r="B116" s="12"/>
      <c r="C116" s="12"/>
      <c r="D116" s="12"/>
      <c r="E116" s="42"/>
      <c r="F116" s="12"/>
      <c r="G116" s="12"/>
      <c r="H116" s="43"/>
      <c r="I116" s="12"/>
      <c r="J116" s="12"/>
      <c r="K116" s="43"/>
      <c r="L116" s="30"/>
      <c r="M116" s="25"/>
      <c r="N116" s="12"/>
      <c r="O116" s="12"/>
      <c r="P116" s="12"/>
      <c r="Q116" s="44"/>
      <c r="R116" s="12"/>
      <c r="S116" s="12"/>
      <c r="T116" s="12"/>
      <c r="U116" s="43"/>
      <c r="V116" s="44"/>
      <c r="W116" s="12"/>
      <c r="X116" s="12"/>
      <c r="Y116" s="12"/>
      <c r="Z116" s="43"/>
      <c r="AA116" s="43"/>
      <c r="AB116" s="12"/>
      <c r="AC116" s="12"/>
      <c r="AD116" s="12"/>
      <c r="AE116" s="12"/>
      <c r="AF116" s="12"/>
      <c r="AG116" s="12"/>
      <c r="AH116" s="12"/>
      <c r="AI116" s="12"/>
      <c r="AJ116" s="42"/>
      <c r="AK116" s="12"/>
      <c r="AL116" s="12"/>
      <c r="AM116" s="12"/>
      <c r="AN116" s="43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45"/>
      <c r="BV116" s="25"/>
      <c r="BW116" s="25"/>
      <c r="BX116" s="25"/>
      <c r="BY116" s="25"/>
      <c r="BZ116" s="25"/>
      <c r="CA116" s="25"/>
      <c r="CB116" s="26"/>
      <c r="CC116" s="26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46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25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30"/>
      <c r="GP116" s="30"/>
      <c r="GQ116" s="12"/>
      <c r="GR116" s="30"/>
      <c r="GS116" s="12"/>
      <c r="GT116" s="12"/>
      <c r="GU116" s="25"/>
      <c r="GV116" s="12"/>
      <c r="GW116" s="12"/>
      <c r="GX116" s="30"/>
      <c r="GY116" s="30"/>
      <c r="GZ116" s="30"/>
      <c r="HA116" s="30"/>
      <c r="HB116" s="30"/>
      <c r="HC116" s="30"/>
      <c r="HD116" s="30"/>
      <c r="HE116" s="30"/>
      <c r="HF116" s="30"/>
      <c r="HG116" s="30"/>
      <c r="HH116" s="30"/>
      <c r="HI116" s="12"/>
      <c r="HJ116" s="12"/>
      <c r="HK116" s="12"/>
      <c r="HL116" s="12"/>
      <c r="HM116" s="12"/>
      <c r="HN116" s="12"/>
    </row>
    <row r="117" ht="13.5" customHeight="1">
      <c r="A117" s="12"/>
      <c r="B117" s="12"/>
      <c r="C117" s="12"/>
      <c r="D117" s="12"/>
      <c r="E117" s="42"/>
      <c r="F117" s="12"/>
      <c r="G117" s="12"/>
      <c r="H117" s="43"/>
      <c r="I117" s="12"/>
      <c r="J117" s="12"/>
      <c r="K117" s="43"/>
      <c r="L117" s="30"/>
      <c r="M117" s="25"/>
      <c r="N117" s="12"/>
      <c r="O117" s="12"/>
      <c r="P117" s="12"/>
      <c r="Q117" s="44"/>
      <c r="R117" s="12"/>
      <c r="S117" s="12"/>
      <c r="T117" s="12"/>
      <c r="U117" s="43"/>
      <c r="V117" s="44"/>
      <c r="W117" s="12"/>
      <c r="X117" s="12"/>
      <c r="Y117" s="12"/>
      <c r="Z117" s="43"/>
      <c r="AA117" s="43"/>
      <c r="AB117" s="12"/>
      <c r="AC117" s="12"/>
      <c r="AD117" s="12"/>
      <c r="AE117" s="12"/>
      <c r="AF117" s="12"/>
      <c r="AG117" s="12"/>
      <c r="AH117" s="12"/>
      <c r="AI117" s="12"/>
      <c r="AJ117" s="42"/>
      <c r="AK117" s="12"/>
      <c r="AL117" s="12"/>
      <c r="AM117" s="12"/>
      <c r="AN117" s="43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45"/>
      <c r="BV117" s="25"/>
      <c r="BW117" s="25"/>
      <c r="BX117" s="25"/>
      <c r="BY117" s="25"/>
      <c r="BZ117" s="25"/>
      <c r="CA117" s="25"/>
      <c r="CB117" s="26"/>
      <c r="CC117" s="26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46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25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30"/>
      <c r="GP117" s="30"/>
      <c r="GQ117" s="12"/>
      <c r="GR117" s="30"/>
      <c r="GS117" s="12"/>
      <c r="GT117" s="12"/>
      <c r="GU117" s="25"/>
      <c r="GV117" s="12"/>
      <c r="GW117" s="12"/>
      <c r="GX117" s="30"/>
      <c r="GY117" s="30"/>
      <c r="GZ117" s="30"/>
      <c r="HA117" s="30"/>
      <c r="HB117" s="30"/>
      <c r="HC117" s="30"/>
      <c r="HD117" s="30"/>
      <c r="HE117" s="30"/>
      <c r="HF117" s="30"/>
      <c r="HG117" s="30"/>
      <c r="HH117" s="30"/>
      <c r="HI117" s="12"/>
      <c r="HJ117" s="12"/>
      <c r="HK117" s="12"/>
      <c r="HL117" s="12"/>
      <c r="HM117" s="12"/>
      <c r="HN117" s="12"/>
    </row>
    <row r="118" ht="13.5" customHeight="1">
      <c r="A118" s="12"/>
      <c r="B118" s="12"/>
      <c r="C118" s="12"/>
      <c r="D118" s="12"/>
      <c r="E118" s="42"/>
      <c r="F118" s="12"/>
      <c r="G118" s="12"/>
      <c r="H118" s="43"/>
      <c r="I118" s="12"/>
      <c r="J118" s="12"/>
      <c r="K118" s="43"/>
      <c r="L118" s="30"/>
      <c r="M118" s="25"/>
      <c r="N118" s="12"/>
      <c r="O118" s="12"/>
      <c r="P118" s="12"/>
      <c r="Q118" s="44"/>
      <c r="R118" s="12"/>
      <c r="S118" s="12"/>
      <c r="T118" s="12"/>
      <c r="U118" s="43"/>
      <c r="V118" s="44"/>
      <c r="W118" s="12"/>
      <c r="X118" s="12"/>
      <c r="Y118" s="12"/>
      <c r="Z118" s="43"/>
      <c r="AA118" s="43"/>
      <c r="AB118" s="12"/>
      <c r="AC118" s="12"/>
      <c r="AD118" s="12"/>
      <c r="AE118" s="12"/>
      <c r="AF118" s="12"/>
      <c r="AG118" s="12"/>
      <c r="AH118" s="12"/>
      <c r="AI118" s="12"/>
      <c r="AJ118" s="42"/>
      <c r="AK118" s="12"/>
      <c r="AL118" s="12"/>
      <c r="AM118" s="12"/>
      <c r="AN118" s="43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45"/>
      <c r="BV118" s="25"/>
      <c r="BW118" s="25"/>
      <c r="BX118" s="25"/>
      <c r="BY118" s="25"/>
      <c r="BZ118" s="25"/>
      <c r="CA118" s="25"/>
      <c r="CB118" s="26"/>
      <c r="CC118" s="26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46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25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30"/>
      <c r="GP118" s="30"/>
      <c r="GQ118" s="12"/>
      <c r="GR118" s="30"/>
      <c r="GS118" s="12"/>
      <c r="GT118" s="12"/>
      <c r="GU118" s="25"/>
      <c r="GV118" s="12"/>
      <c r="GW118" s="12"/>
      <c r="GX118" s="30"/>
      <c r="GY118" s="30"/>
      <c r="GZ118" s="30"/>
      <c r="HA118" s="30"/>
      <c r="HB118" s="30"/>
      <c r="HC118" s="30"/>
      <c r="HD118" s="30"/>
      <c r="HE118" s="30"/>
      <c r="HF118" s="30"/>
      <c r="HG118" s="30"/>
      <c r="HH118" s="30"/>
      <c r="HI118" s="12"/>
      <c r="HJ118" s="12"/>
      <c r="HK118" s="12"/>
      <c r="HL118" s="12"/>
      <c r="HM118" s="12"/>
      <c r="HN118" s="12"/>
    </row>
    <row r="119" ht="13.5" customHeight="1">
      <c r="A119" s="12"/>
      <c r="B119" s="12"/>
      <c r="C119" s="12"/>
      <c r="D119" s="12"/>
      <c r="E119" s="42"/>
      <c r="F119" s="12"/>
      <c r="G119" s="12"/>
      <c r="H119" s="43"/>
      <c r="I119" s="12"/>
      <c r="J119" s="12"/>
      <c r="K119" s="43"/>
      <c r="L119" s="30"/>
      <c r="M119" s="25"/>
      <c r="N119" s="12"/>
      <c r="O119" s="12"/>
      <c r="P119" s="12"/>
      <c r="Q119" s="44"/>
      <c r="R119" s="12"/>
      <c r="S119" s="12"/>
      <c r="T119" s="12"/>
      <c r="U119" s="43"/>
      <c r="V119" s="44"/>
      <c r="W119" s="12"/>
      <c r="X119" s="12"/>
      <c r="Y119" s="12"/>
      <c r="Z119" s="43"/>
      <c r="AA119" s="43"/>
      <c r="AB119" s="12"/>
      <c r="AC119" s="12"/>
      <c r="AD119" s="12"/>
      <c r="AE119" s="12"/>
      <c r="AF119" s="12"/>
      <c r="AG119" s="12"/>
      <c r="AH119" s="12"/>
      <c r="AI119" s="12"/>
      <c r="AJ119" s="42"/>
      <c r="AK119" s="12"/>
      <c r="AL119" s="12"/>
      <c r="AM119" s="12"/>
      <c r="AN119" s="43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45"/>
      <c r="BV119" s="25"/>
      <c r="BW119" s="25"/>
      <c r="BX119" s="25"/>
      <c r="BY119" s="25"/>
      <c r="BZ119" s="25"/>
      <c r="CA119" s="25"/>
      <c r="CB119" s="26"/>
      <c r="CC119" s="26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46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25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30"/>
      <c r="GP119" s="30"/>
      <c r="GQ119" s="12"/>
      <c r="GR119" s="30"/>
      <c r="GS119" s="12"/>
      <c r="GT119" s="12"/>
      <c r="GU119" s="25"/>
      <c r="GV119" s="12"/>
      <c r="GW119" s="12"/>
      <c r="GX119" s="30"/>
      <c r="GY119" s="30"/>
      <c r="GZ119" s="30"/>
      <c r="HA119" s="30"/>
      <c r="HB119" s="30"/>
      <c r="HC119" s="30"/>
      <c r="HD119" s="30"/>
      <c r="HE119" s="30"/>
      <c r="HF119" s="30"/>
      <c r="HG119" s="30"/>
      <c r="HH119" s="30"/>
      <c r="HI119" s="12"/>
      <c r="HJ119" s="12"/>
      <c r="HK119" s="12"/>
      <c r="HL119" s="12"/>
      <c r="HM119" s="12"/>
      <c r="HN119" s="12"/>
    </row>
    <row r="120" ht="13.5" customHeight="1">
      <c r="A120" s="12"/>
      <c r="B120" s="12"/>
      <c r="C120" s="12"/>
      <c r="D120" s="12"/>
      <c r="E120" s="42"/>
      <c r="F120" s="12"/>
      <c r="G120" s="12"/>
      <c r="H120" s="43"/>
      <c r="I120" s="12"/>
      <c r="J120" s="12"/>
      <c r="K120" s="43"/>
      <c r="L120" s="30"/>
      <c r="M120" s="25"/>
      <c r="N120" s="12"/>
      <c r="O120" s="12"/>
      <c r="P120" s="12"/>
      <c r="Q120" s="44"/>
      <c r="R120" s="12"/>
      <c r="S120" s="12"/>
      <c r="T120" s="12"/>
      <c r="U120" s="43"/>
      <c r="V120" s="44"/>
      <c r="W120" s="12"/>
      <c r="X120" s="12"/>
      <c r="Y120" s="12"/>
      <c r="Z120" s="43"/>
      <c r="AA120" s="43"/>
      <c r="AB120" s="12"/>
      <c r="AC120" s="12"/>
      <c r="AD120" s="12"/>
      <c r="AE120" s="12"/>
      <c r="AF120" s="12"/>
      <c r="AG120" s="12"/>
      <c r="AH120" s="12"/>
      <c r="AI120" s="12"/>
      <c r="AJ120" s="42"/>
      <c r="AK120" s="12"/>
      <c r="AL120" s="12"/>
      <c r="AM120" s="12"/>
      <c r="AN120" s="43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45"/>
      <c r="BV120" s="25"/>
      <c r="BW120" s="25"/>
      <c r="BX120" s="25"/>
      <c r="BY120" s="25"/>
      <c r="BZ120" s="25"/>
      <c r="CA120" s="25"/>
      <c r="CB120" s="26"/>
      <c r="CC120" s="26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46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25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30"/>
      <c r="GP120" s="30"/>
      <c r="GQ120" s="12"/>
      <c r="GR120" s="30"/>
      <c r="GS120" s="12"/>
      <c r="GT120" s="12"/>
      <c r="GU120" s="25"/>
      <c r="GV120" s="12"/>
      <c r="GW120" s="12"/>
      <c r="GX120" s="30"/>
      <c r="GY120" s="30"/>
      <c r="GZ120" s="30"/>
      <c r="HA120" s="30"/>
      <c r="HB120" s="30"/>
      <c r="HC120" s="30"/>
      <c r="HD120" s="30"/>
      <c r="HE120" s="30"/>
      <c r="HF120" s="30"/>
      <c r="HG120" s="30"/>
      <c r="HH120" s="30"/>
      <c r="HI120" s="12"/>
      <c r="HJ120" s="12"/>
      <c r="HK120" s="12"/>
      <c r="HL120" s="12"/>
      <c r="HM120" s="12"/>
      <c r="HN120" s="12"/>
    </row>
    <row r="121" ht="13.5" customHeight="1">
      <c r="A121" s="12"/>
      <c r="B121" s="12"/>
      <c r="C121" s="12"/>
      <c r="D121" s="12"/>
      <c r="E121" s="42"/>
      <c r="F121" s="12"/>
      <c r="G121" s="12"/>
      <c r="H121" s="43"/>
      <c r="I121" s="12"/>
      <c r="J121" s="12"/>
      <c r="K121" s="43"/>
      <c r="L121" s="30"/>
      <c r="M121" s="25"/>
      <c r="N121" s="12"/>
      <c r="O121" s="12"/>
      <c r="P121" s="12"/>
      <c r="Q121" s="44"/>
      <c r="R121" s="12"/>
      <c r="S121" s="12"/>
      <c r="T121" s="12"/>
      <c r="U121" s="43"/>
      <c r="V121" s="44"/>
      <c r="W121" s="12"/>
      <c r="X121" s="12"/>
      <c r="Y121" s="12"/>
      <c r="Z121" s="43"/>
      <c r="AA121" s="43"/>
      <c r="AB121" s="12"/>
      <c r="AC121" s="12"/>
      <c r="AD121" s="12"/>
      <c r="AE121" s="12"/>
      <c r="AF121" s="12"/>
      <c r="AG121" s="12"/>
      <c r="AH121" s="12"/>
      <c r="AI121" s="12"/>
      <c r="AJ121" s="42"/>
      <c r="AK121" s="12"/>
      <c r="AL121" s="12"/>
      <c r="AM121" s="12"/>
      <c r="AN121" s="43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45"/>
      <c r="BV121" s="25"/>
      <c r="BW121" s="25"/>
      <c r="BX121" s="25"/>
      <c r="BY121" s="25"/>
      <c r="BZ121" s="25"/>
      <c r="CA121" s="25"/>
      <c r="CB121" s="26"/>
      <c r="CC121" s="26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46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25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30"/>
      <c r="GP121" s="30"/>
      <c r="GQ121" s="12"/>
      <c r="GR121" s="30"/>
      <c r="GS121" s="12"/>
      <c r="GT121" s="12"/>
      <c r="GU121" s="25"/>
      <c r="GV121" s="12"/>
      <c r="GW121" s="12"/>
      <c r="GX121" s="30"/>
      <c r="GY121" s="30"/>
      <c r="GZ121" s="30"/>
      <c r="HA121" s="30"/>
      <c r="HB121" s="30"/>
      <c r="HC121" s="30"/>
      <c r="HD121" s="30"/>
      <c r="HE121" s="30"/>
      <c r="HF121" s="30"/>
      <c r="HG121" s="30"/>
      <c r="HH121" s="30"/>
      <c r="HI121" s="12"/>
      <c r="HJ121" s="12"/>
      <c r="HK121" s="12"/>
      <c r="HL121" s="12"/>
      <c r="HM121" s="12"/>
      <c r="HN121" s="12"/>
    </row>
    <row r="122" ht="13.5" customHeight="1">
      <c r="A122" s="12"/>
      <c r="B122" s="12"/>
      <c r="C122" s="12"/>
      <c r="D122" s="12"/>
      <c r="E122" s="42"/>
      <c r="F122" s="12"/>
      <c r="G122" s="12"/>
      <c r="H122" s="43"/>
      <c r="I122" s="12"/>
      <c r="J122" s="12"/>
      <c r="K122" s="43"/>
      <c r="L122" s="30"/>
      <c r="M122" s="25"/>
      <c r="N122" s="12"/>
      <c r="O122" s="12"/>
      <c r="P122" s="12"/>
      <c r="Q122" s="44"/>
      <c r="R122" s="12"/>
      <c r="S122" s="12"/>
      <c r="T122" s="12"/>
      <c r="U122" s="43"/>
      <c r="V122" s="44"/>
      <c r="W122" s="12"/>
      <c r="X122" s="12"/>
      <c r="Y122" s="12"/>
      <c r="Z122" s="43"/>
      <c r="AA122" s="43"/>
      <c r="AB122" s="12"/>
      <c r="AC122" s="12"/>
      <c r="AD122" s="12"/>
      <c r="AE122" s="12"/>
      <c r="AF122" s="12"/>
      <c r="AG122" s="12"/>
      <c r="AH122" s="12"/>
      <c r="AI122" s="12"/>
      <c r="AJ122" s="42"/>
      <c r="AK122" s="12"/>
      <c r="AL122" s="12"/>
      <c r="AM122" s="12"/>
      <c r="AN122" s="43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45"/>
      <c r="BV122" s="25"/>
      <c r="BW122" s="25"/>
      <c r="BX122" s="25"/>
      <c r="BY122" s="25"/>
      <c r="BZ122" s="25"/>
      <c r="CA122" s="25"/>
      <c r="CB122" s="26"/>
      <c r="CC122" s="26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46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25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30"/>
      <c r="GP122" s="30"/>
      <c r="GQ122" s="12"/>
      <c r="GR122" s="30"/>
      <c r="GS122" s="12"/>
      <c r="GT122" s="12"/>
      <c r="GU122" s="25"/>
      <c r="GV122" s="12"/>
      <c r="GW122" s="12"/>
      <c r="GX122" s="30"/>
      <c r="GY122" s="30"/>
      <c r="GZ122" s="30"/>
      <c r="HA122" s="30"/>
      <c r="HB122" s="30"/>
      <c r="HC122" s="30"/>
      <c r="HD122" s="30"/>
      <c r="HE122" s="30"/>
      <c r="HF122" s="30"/>
      <c r="HG122" s="30"/>
      <c r="HH122" s="30"/>
      <c r="HI122" s="12"/>
      <c r="HJ122" s="12"/>
      <c r="HK122" s="12"/>
      <c r="HL122" s="12"/>
      <c r="HM122" s="12"/>
      <c r="HN122" s="12"/>
    </row>
    <row r="123" ht="13.5" customHeight="1">
      <c r="A123" s="12"/>
      <c r="B123" s="12"/>
      <c r="C123" s="12"/>
      <c r="D123" s="12"/>
      <c r="E123" s="42"/>
      <c r="F123" s="12"/>
      <c r="G123" s="12"/>
      <c r="H123" s="43"/>
      <c r="I123" s="12"/>
      <c r="J123" s="12"/>
      <c r="K123" s="43"/>
      <c r="L123" s="30"/>
      <c r="M123" s="25"/>
      <c r="N123" s="12"/>
      <c r="O123" s="12"/>
      <c r="P123" s="12"/>
      <c r="Q123" s="44"/>
      <c r="R123" s="12"/>
      <c r="S123" s="12"/>
      <c r="T123" s="12"/>
      <c r="U123" s="43"/>
      <c r="V123" s="44"/>
      <c r="W123" s="12"/>
      <c r="X123" s="12"/>
      <c r="Y123" s="12"/>
      <c r="Z123" s="43"/>
      <c r="AA123" s="43"/>
      <c r="AB123" s="12"/>
      <c r="AC123" s="12"/>
      <c r="AD123" s="12"/>
      <c r="AE123" s="12"/>
      <c r="AF123" s="12"/>
      <c r="AG123" s="12"/>
      <c r="AH123" s="12"/>
      <c r="AI123" s="12"/>
      <c r="AJ123" s="42"/>
      <c r="AK123" s="12"/>
      <c r="AL123" s="12"/>
      <c r="AM123" s="12"/>
      <c r="AN123" s="43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45"/>
      <c r="BV123" s="25"/>
      <c r="BW123" s="25"/>
      <c r="BX123" s="25"/>
      <c r="BY123" s="25"/>
      <c r="BZ123" s="25"/>
      <c r="CA123" s="25"/>
      <c r="CB123" s="26"/>
      <c r="CC123" s="26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46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25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30"/>
      <c r="GP123" s="30"/>
      <c r="GQ123" s="12"/>
      <c r="GR123" s="30"/>
      <c r="GS123" s="12"/>
      <c r="GT123" s="12"/>
      <c r="GU123" s="25"/>
      <c r="GV123" s="12"/>
      <c r="GW123" s="12"/>
      <c r="GX123" s="30"/>
      <c r="GY123" s="30"/>
      <c r="GZ123" s="30"/>
      <c r="HA123" s="30"/>
      <c r="HB123" s="30"/>
      <c r="HC123" s="30"/>
      <c r="HD123" s="30"/>
      <c r="HE123" s="30"/>
      <c r="HF123" s="30"/>
      <c r="HG123" s="30"/>
      <c r="HH123" s="30"/>
      <c r="HI123" s="12"/>
      <c r="HJ123" s="12"/>
      <c r="HK123" s="12"/>
      <c r="HL123" s="12"/>
      <c r="HM123" s="12"/>
      <c r="HN123" s="12"/>
    </row>
    <row r="124" ht="13.5" customHeight="1">
      <c r="A124" s="12"/>
      <c r="B124" s="12"/>
      <c r="C124" s="12"/>
      <c r="D124" s="12"/>
      <c r="E124" s="42"/>
      <c r="F124" s="12"/>
      <c r="G124" s="12"/>
      <c r="H124" s="43"/>
      <c r="I124" s="12"/>
      <c r="J124" s="12"/>
      <c r="K124" s="43"/>
      <c r="L124" s="30"/>
      <c r="M124" s="25"/>
      <c r="N124" s="12"/>
      <c r="O124" s="12"/>
      <c r="P124" s="12"/>
      <c r="Q124" s="44"/>
      <c r="R124" s="12"/>
      <c r="S124" s="12"/>
      <c r="T124" s="12"/>
      <c r="U124" s="43"/>
      <c r="V124" s="44"/>
      <c r="W124" s="12"/>
      <c r="X124" s="12"/>
      <c r="Y124" s="12"/>
      <c r="Z124" s="43"/>
      <c r="AA124" s="43"/>
      <c r="AB124" s="12"/>
      <c r="AC124" s="12"/>
      <c r="AD124" s="12"/>
      <c r="AE124" s="12"/>
      <c r="AF124" s="12"/>
      <c r="AG124" s="12"/>
      <c r="AH124" s="12"/>
      <c r="AI124" s="12"/>
      <c r="AJ124" s="42"/>
      <c r="AK124" s="12"/>
      <c r="AL124" s="12"/>
      <c r="AM124" s="12"/>
      <c r="AN124" s="43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45"/>
      <c r="BV124" s="25"/>
      <c r="BW124" s="25"/>
      <c r="BX124" s="25"/>
      <c r="BY124" s="25"/>
      <c r="BZ124" s="25"/>
      <c r="CA124" s="25"/>
      <c r="CB124" s="26"/>
      <c r="CC124" s="26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46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25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30"/>
      <c r="GP124" s="30"/>
      <c r="GQ124" s="12"/>
      <c r="GR124" s="30"/>
      <c r="GS124" s="12"/>
      <c r="GT124" s="12"/>
      <c r="GU124" s="25"/>
      <c r="GV124" s="12"/>
      <c r="GW124" s="12"/>
      <c r="GX124" s="30"/>
      <c r="GY124" s="30"/>
      <c r="GZ124" s="30"/>
      <c r="HA124" s="30"/>
      <c r="HB124" s="30"/>
      <c r="HC124" s="30"/>
      <c r="HD124" s="30"/>
      <c r="HE124" s="30"/>
      <c r="HF124" s="30"/>
      <c r="HG124" s="30"/>
      <c r="HH124" s="30"/>
      <c r="HI124" s="12"/>
      <c r="HJ124" s="12"/>
      <c r="HK124" s="12"/>
      <c r="HL124" s="12"/>
      <c r="HM124" s="12"/>
      <c r="HN124" s="12"/>
    </row>
    <row r="125" ht="13.5" customHeight="1">
      <c r="A125" s="12"/>
      <c r="B125" s="12"/>
      <c r="C125" s="12"/>
      <c r="D125" s="12"/>
      <c r="E125" s="42"/>
      <c r="F125" s="12"/>
      <c r="G125" s="12"/>
      <c r="H125" s="43"/>
      <c r="I125" s="12"/>
      <c r="J125" s="12"/>
      <c r="K125" s="43"/>
      <c r="L125" s="30"/>
      <c r="M125" s="25"/>
      <c r="N125" s="12"/>
      <c r="O125" s="12"/>
      <c r="P125" s="12"/>
      <c r="Q125" s="44"/>
      <c r="R125" s="12"/>
      <c r="S125" s="12"/>
      <c r="T125" s="12"/>
      <c r="U125" s="43"/>
      <c r="V125" s="44"/>
      <c r="W125" s="12"/>
      <c r="X125" s="12"/>
      <c r="Y125" s="12"/>
      <c r="Z125" s="43"/>
      <c r="AA125" s="43"/>
      <c r="AB125" s="12"/>
      <c r="AC125" s="12"/>
      <c r="AD125" s="12"/>
      <c r="AE125" s="12"/>
      <c r="AF125" s="12"/>
      <c r="AG125" s="12"/>
      <c r="AH125" s="12"/>
      <c r="AI125" s="12"/>
      <c r="AJ125" s="42"/>
      <c r="AK125" s="12"/>
      <c r="AL125" s="12"/>
      <c r="AM125" s="12"/>
      <c r="AN125" s="43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45"/>
      <c r="BV125" s="25"/>
      <c r="BW125" s="25"/>
      <c r="BX125" s="25"/>
      <c r="BY125" s="25"/>
      <c r="BZ125" s="25"/>
      <c r="CA125" s="25"/>
      <c r="CB125" s="26"/>
      <c r="CC125" s="26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46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25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30"/>
      <c r="GP125" s="30"/>
      <c r="GQ125" s="12"/>
      <c r="GR125" s="30"/>
      <c r="GS125" s="12"/>
      <c r="GT125" s="12"/>
      <c r="GU125" s="25"/>
      <c r="GV125" s="12"/>
      <c r="GW125" s="12"/>
      <c r="GX125" s="30"/>
      <c r="GY125" s="30"/>
      <c r="GZ125" s="30"/>
      <c r="HA125" s="30"/>
      <c r="HB125" s="30"/>
      <c r="HC125" s="30"/>
      <c r="HD125" s="30"/>
      <c r="HE125" s="30"/>
      <c r="HF125" s="30"/>
      <c r="HG125" s="30"/>
      <c r="HH125" s="30"/>
      <c r="HI125" s="12"/>
      <c r="HJ125" s="12"/>
      <c r="HK125" s="12"/>
      <c r="HL125" s="12"/>
      <c r="HM125" s="12"/>
      <c r="HN125" s="12"/>
    </row>
    <row r="126" ht="13.5" customHeight="1">
      <c r="A126" s="12"/>
      <c r="B126" s="12"/>
      <c r="C126" s="12"/>
      <c r="D126" s="12"/>
      <c r="E126" s="42"/>
      <c r="F126" s="12"/>
      <c r="G126" s="12"/>
      <c r="H126" s="43"/>
      <c r="I126" s="12"/>
      <c r="J126" s="12"/>
      <c r="K126" s="43"/>
      <c r="L126" s="30"/>
      <c r="M126" s="25"/>
      <c r="N126" s="12"/>
      <c r="O126" s="12"/>
      <c r="P126" s="12"/>
      <c r="Q126" s="44"/>
      <c r="R126" s="12"/>
      <c r="S126" s="12"/>
      <c r="T126" s="12"/>
      <c r="U126" s="43"/>
      <c r="V126" s="44"/>
      <c r="W126" s="12"/>
      <c r="X126" s="12"/>
      <c r="Y126" s="12"/>
      <c r="Z126" s="43"/>
      <c r="AA126" s="43"/>
      <c r="AB126" s="12"/>
      <c r="AC126" s="12"/>
      <c r="AD126" s="12"/>
      <c r="AE126" s="12"/>
      <c r="AF126" s="12"/>
      <c r="AG126" s="12"/>
      <c r="AH126" s="12"/>
      <c r="AI126" s="12"/>
      <c r="AJ126" s="42"/>
      <c r="AK126" s="12"/>
      <c r="AL126" s="12"/>
      <c r="AM126" s="12"/>
      <c r="AN126" s="43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45"/>
      <c r="BV126" s="25"/>
      <c r="BW126" s="25"/>
      <c r="BX126" s="25"/>
      <c r="BY126" s="25"/>
      <c r="BZ126" s="25"/>
      <c r="CA126" s="25"/>
      <c r="CB126" s="26"/>
      <c r="CC126" s="26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46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25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30"/>
      <c r="GP126" s="30"/>
      <c r="GQ126" s="12"/>
      <c r="GR126" s="30"/>
      <c r="GS126" s="12"/>
      <c r="GT126" s="12"/>
      <c r="GU126" s="25"/>
      <c r="GV126" s="12"/>
      <c r="GW126" s="12"/>
      <c r="GX126" s="30"/>
      <c r="GY126" s="30"/>
      <c r="GZ126" s="30"/>
      <c r="HA126" s="30"/>
      <c r="HB126" s="30"/>
      <c r="HC126" s="30"/>
      <c r="HD126" s="30"/>
      <c r="HE126" s="30"/>
      <c r="HF126" s="30"/>
      <c r="HG126" s="30"/>
      <c r="HH126" s="30"/>
      <c r="HI126" s="12"/>
      <c r="HJ126" s="12"/>
      <c r="HK126" s="12"/>
      <c r="HL126" s="12"/>
      <c r="HM126" s="12"/>
      <c r="HN126" s="12"/>
    </row>
    <row r="127" ht="13.5" customHeight="1">
      <c r="A127" s="12"/>
      <c r="B127" s="12"/>
      <c r="C127" s="12"/>
      <c r="D127" s="12"/>
      <c r="E127" s="42"/>
      <c r="F127" s="12"/>
      <c r="G127" s="12"/>
      <c r="H127" s="43"/>
      <c r="I127" s="12"/>
      <c r="J127" s="12"/>
      <c r="K127" s="43"/>
      <c r="L127" s="30"/>
      <c r="M127" s="25"/>
      <c r="N127" s="12"/>
      <c r="O127" s="12"/>
      <c r="P127" s="12"/>
      <c r="Q127" s="44"/>
      <c r="R127" s="12"/>
      <c r="S127" s="12"/>
      <c r="T127" s="12"/>
      <c r="U127" s="43"/>
      <c r="V127" s="44"/>
      <c r="W127" s="12"/>
      <c r="X127" s="12"/>
      <c r="Y127" s="12"/>
      <c r="Z127" s="43"/>
      <c r="AA127" s="43"/>
      <c r="AB127" s="12"/>
      <c r="AC127" s="12"/>
      <c r="AD127" s="12"/>
      <c r="AE127" s="12"/>
      <c r="AF127" s="12"/>
      <c r="AG127" s="12"/>
      <c r="AH127" s="12"/>
      <c r="AI127" s="12"/>
      <c r="AJ127" s="42"/>
      <c r="AK127" s="12"/>
      <c r="AL127" s="12"/>
      <c r="AM127" s="12"/>
      <c r="AN127" s="43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45"/>
      <c r="BV127" s="25"/>
      <c r="BW127" s="25"/>
      <c r="BX127" s="25"/>
      <c r="BY127" s="25"/>
      <c r="BZ127" s="25"/>
      <c r="CA127" s="25"/>
      <c r="CB127" s="26"/>
      <c r="CC127" s="26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46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25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30"/>
      <c r="GP127" s="30"/>
      <c r="GQ127" s="12"/>
      <c r="GR127" s="30"/>
      <c r="GS127" s="12"/>
      <c r="GT127" s="12"/>
      <c r="GU127" s="25"/>
      <c r="GV127" s="12"/>
      <c r="GW127" s="12"/>
      <c r="GX127" s="30"/>
      <c r="GY127" s="30"/>
      <c r="GZ127" s="30"/>
      <c r="HA127" s="30"/>
      <c r="HB127" s="30"/>
      <c r="HC127" s="30"/>
      <c r="HD127" s="30"/>
      <c r="HE127" s="30"/>
      <c r="HF127" s="30"/>
      <c r="HG127" s="30"/>
      <c r="HH127" s="30"/>
      <c r="HI127" s="12"/>
      <c r="HJ127" s="12"/>
      <c r="HK127" s="12"/>
      <c r="HL127" s="12"/>
      <c r="HM127" s="12"/>
      <c r="HN127" s="12"/>
    </row>
    <row r="128" ht="13.5" customHeight="1">
      <c r="A128" s="12"/>
      <c r="B128" s="12"/>
      <c r="C128" s="12"/>
      <c r="D128" s="12"/>
      <c r="E128" s="42"/>
      <c r="F128" s="12"/>
      <c r="G128" s="12"/>
      <c r="H128" s="43"/>
      <c r="I128" s="12"/>
      <c r="J128" s="12"/>
      <c r="K128" s="43"/>
      <c r="L128" s="30"/>
      <c r="M128" s="25"/>
      <c r="N128" s="12"/>
      <c r="O128" s="12"/>
      <c r="P128" s="12"/>
      <c r="Q128" s="44"/>
      <c r="R128" s="12"/>
      <c r="S128" s="12"/>
      <c r="T128" s="12"/>
      <c r="U128" s="43"/>
      <c r="V128" s="44"/>
      <c r="W128" s="12"/>
      <c r="X128" s="12"/>
      <c r="Y128" s="12"/>
      <c r="Z128" s="43"/>
      <c r="AA128" s="43"/>
      <c r="AB128" s="12"/>
      <c r="AC128" s="12"/>
      <c r="AD128" s="12"/>
      <c r="AE128" s="12"/>
      <c r="AF128" s="12"/>
      <c r="AG128" s="12"/>
      <c r="AH128" s="12"/>
      <c r="AI128" s="12"/>
      <c r="AJ128" s="42"/>
      <c r="AK128" s="12"/>
      <c r="AL128" s="12"/>
      <c r="AM128" s="12"/>
      <c r="AN128" s="43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45"/>
      <c r="BV128" s="25"/>
      <c r="BW128" s="25"/>
      <c r="BX128" s="25"/>
      <c r="BY128" s="25"/>
      <c r="BZ128" s="25"/>
      <c r="CA128" s="25"/>
      <c r="CB128" s="26"/>
      <c r="CC128" s="26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46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25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30"/>
      <c r="GP128" s="30"/>
      <c r="GQ128" s="12"/>
      <c r="GR128" s="30"/>
      <c r="GS128" s="12"/>
      <c r="GT128" s="12"/>
      <c r="GU128" s="25"/>
      <c r="GV128" s="12"/>
      <c r="GW128" s="12"/>
      <c r="GX128" s="30"/>
      <c r="GY128" s="30"/>
      <c r="GZ128" s="30"/>
      <c r="HA128" s="30"/>
      <c r="HB128" s="30"/>
      <c r="HC128" s="30"/>
      <c r="HD128" s="30"/>
      <c r="HE128" s="30"/>
      <c r="HF128" s="30"/>
      <c r="HG128" s="30"/>
      <c r="HH128" s="30"/>
      <c r="HI128" s="12"/>
      <c r="HJ128" s="12"/>
      <c r="HK128" s="12"/>
      <c r="HL128" s="12"/>
      <c r="HM128" s="12"/>
      <c r="HN128" s="12"/>
    </row>
    <row r="129" ht="13.5" customHeight="1">
      <c r="A129" s="12"/>
      <c r="B129" s="12"/>
      <c r="C129" s="12"/>
      <c r="D129" s="12"/>
      <c r="E129" s="42"/>
      <c r="F129" s="12"/>
      <c r="G129" s="12"/>
      <c r="H129" s="43"/>
      <c r="I129" s="12"/>
      <c r="J129" s="12"/>
      <c r="K129" s="43"/>
      <c r="L129" s="30"/>
      <c r="M129" s="25"/>
      <c r="N129" s="12"/>
      <c r="O129" s="12"/>
      <c r="P129" s="12"/>
      <c r="Q129" s="44"/>
      <c r="R129" s="12"/>
      <c r="S129" s="12"/>
      <c r="T129" s="12"/>
      <c r="U129" s="43"/>
      <c r="V129" s="44"/>
      <c r="W129" s="12"/>
      <c r="X129" s="12"/>
      <c r="Y129" s="12"/>
      <c r="Z129" s="43"/>
      <c r="AA129" s="43"/>
      <c r="AB129" s="12"/>
      <c r="AC129" s="12"/>
      <c r="AD129" s="12"/>
      <c r="AE129" s="12"/>
      <c r="AF129" s="12"/>
      <c r="AG129" s="12"/>
      <c r="AH129" s="12"/>
      <c r="AI129" s="12"/>
      <c r="AJ129" s="42"/>
      <c r="AK129" s="12"/>
      <c r="AL129" s="12"/>
      <c r="AM129" s="12"/>
      <c r="AN129" s="43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45"/>
      <c r="BV129" s="25"/>
      <c r="BW129" s="25"/>
      <c r="BX129" s="25"/>
      <c r="BY129" s="25"/>
      <c r="BZ129" s="25"/>
      <c r="CA129" s="25"/>
      <c r="CB129" s="26"/>
      <c r="CC129" s="26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46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25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30"/>
      <c r="GP129" s="30"/>
      <c r="GQ129" s="12"/>
      <c r="GR129" s="30"/>
      <c r="GS129" s="12"/>
      <c r="GT129" s="12"/>
      <c r="GU129" s="25"/>
      <c r="GV129" s="12"/>
      <c r="GW129" s="12"/>
      <c r="GX129" s="30"/>
      <c r="GY129" s="30"/>
      <c r="GZ129" s="30"/>
      <c r="HA129" s="30"/>
      <c r="HB129" s="30"/>
      <c r="HC129" s="30"/>
      <c r="HD129" s="30"/>
      <c r="HE129" s="30"/>
      <c r="HF129" s="30"/>
      <c r="HG129" s="30"/>
      <c r="HH129" s="30"/>
      <c r="HI129" s="12"/>
      <c r="HJ129" s="12"/>
      <c r="HK129" s="12"/>
      <c r="HL129" s="12"/>
      <c r="HM129" s="12"/>
      <c r="HN129" s="12"/>
    </row>
    <row r="130" ht="13.5" customHeight="1">
      <c r="A130" s="12"/>
      <c r="B130" s="12"/>
      <c r="C130" s="12"/>
      <c r="D130" s="12"/>
      <c r="E130" s="42"/>
      <c r="F130" s="12"/>
      <c r="G130" s="12"/>
      <c r="H130" s="43"/>
      <c r="I130" s="12"/>
      <c r="J130" s="12"/>
      <c r="K130" s="43"/>
      <c r="L130" s="30"/>
      <c r="M130" s="25"/>
      <c r="N130" s="12"/>
      <c r="O130" s="12"/>
      <c r="P130" s="12"/>
      <c r="Q130" s="44"/>
      <c r="R130" s="12"/>
      <c r="S130" s="12"/>
      <c r="T130" s="12"/>
      <c r="U130" s="43"/>
      <c r="V130" s="44"/>
      <c r="W130" s="12"/>
      <c r="X130" s="12"/>
      <c r="Y130" s="12"/>
      <c r="Z130" s="43"/>
      <c r="AA130" s="43"/>
      <c r="AB130" s="12"/>
      <c r="AC130" s="12"/>
      <c r="AD130" s="12"/>
      <c r="AE130" s="12"/>
      <c r="AF130" s="12"/>
      <c r="AG130" s="12"/>
      <c r="AH130" s="12"/>
      <c r="AI130" s="12"/>
      <c r="AJ130" s="42"/>
      <c r="AK130" s="12"/>
      <c r="AL130" s="12"/>
      <c r="AM130" s="12"/>
      <c r="AN130" s="43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45"/>
      <c r="BV130" s="25"/>
      <c r="BW130" s="25"/>
      <c r="BX130" s="25"/>
      <c r="BY130" s="25"/>
      <c r="BZ130" s="25"/>
      <c r="CA130" s="25"/>
      <c r="CB130" s="26"/>
      <c r="CC130" s="26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46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25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30"/>
      <c r="GP130" s="30"/>
      <c r="GQ130" s="12"/>
      <c r="GR130" s="30"/>
      <c r="GS130" s="12"/>
      <c r="GT130" s="12"/>
      <c r="GU130" s="25"/>
      <c r="GV130" s="12"/>
      <c r="GW130" s="12"/>
      <c r="GX130" s="30"/>
      <c r="GY130" s="30"/>
      <c r="GZ130" s="30"/>
      <c r="HA130" s="30"/>
      <c r="HB130" s="30"/>
      <c r="HC130" s="30"/>
      <c r="HD130" s="30"/>
      <c r="HE130" s="30"/>
      <c r="HF130" s="30"/>
      <c r="HG130" s="30"/>
      <c r="HH130" s="30"/>
      <c r="HI130" s="12"/>
      <c r="HJ130" s="12"/>
      <c r="HK130" s="12"/>
      <c r="HL130" s="12"/>
      <c r="HM130" s="12"/>
      <c r="HN130" s="12"/>
    </row>
    <row r="131" ht="13.5" customHeight="1">
      <c r="A131" s="12"/>
      <c r="B131" s="12"/>
      <c r="C131" s="12"/>
      <c r="D131" s="12"/>
      <c r="E131" s="42"/>
      <c r="F131" s="12"/>
      <c r="G131" s="12"/>
      <c r="H131" s="43"/>
      <c r="I131" s="12"/>
      <c r="J131" s="12"/>
      <c r="K131" s="43"/>
      <c r="L131" s="30"/>
      <c r="M131" s="25"/>
      <c r="N131" s="12"/>
      <c r="O131" s="12"/>
      <c r="P131" s="12"/>
      <c r="Q131" s="44"/>
      <c r="R131" s="12"/>
      <c r="S131" s="12"/>
      <c r="T131" s="12"/>
      <c r="U131" s="43"/>
      <c r="V131" s="44"/>
      <c r="W131" s="12"/>
      <c r="X131" s="12"/>
      <c r="Y131" s="12"/>
      <c r="Z131" s="43"/>
      <c r="AA131" s="43"/>
      <c r="AB131" s="12"/>
      <c r="AC131" s="12"/>
      <c r="AD131" s="12"/>
      <c r="AE131" s="12"/>
      <c r="AF131" s="12"/>
      <c r="AG131" s="12"/>
      <c r="AH131" s="12"/>
      <c r="AI131" s="12"/>
      <c r="AJ131" s="42"/>
      <c r="AK131" s="12"/>
      <c r="AL131" s="12"/>
      <c r="AM131" s="12"/>
      <c r="AN131" s="43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45"/>
      <c r="BV131" s="25"/>
      <c r="BW131" s="25"/>
      <c r="BX131" s="25"/>
      <c r="BY131" s="25"/>
      <c r="BZ131" s="25"/>
      <c r="CA131" s="25"/>
      <c r="CB131" s="26"/>
      <c r="CC131" s="26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46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25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30"/>
      <c r="GP131" s="30"/>
      <c r="GQ131" s="12"/>
      <c r="GR131" s="30"/>
      <c r="GS131" s="12"/>
      <c r="GT131" s="12"/>
      <c r="GU131" s="25"/>
      <c r="GV131" s="12"/>
      <c r="GW131" s="12"/>
      <c r="GX131" s="30"/>
      <c r="GY131" s="30"/>
      <c r="GZ131" s="30"/>
      <c r="HA131" s="30"/>
      <c r="HB131" s="30"/>
      <c r="HC131" s="30"/>
      <c r="HD131" s="30"/>
      <c r="HE131" s="30"/>
      <c r="HF131" s="30"/>
      <c r="HG131" s="30"/>
      <c r="HH131" s="30"/>
      <c r="HI131" s="12"/>
      <c r="HJ131" s="12"/>
      <c r="HK131" s="12"/>
      <c r="HL131" s="12"/>
      <c r="HM131" s="12"/>
      <c r="HN131" s="12"/>
    </row>
    <row r="132" ht="13.5" customHeight="1">
      <c r="A132" s="12"/>
      <c r="B132" s="12"/>
      <c r="C132" s="12"/>
      <c r="D132" s="12"/>
      <c r="E132" s="42"/>
      <c r="F132" s="12"/>
      <c r="G132" s="12"/>
      <c r="H132" s="43"/>
      <c r="I132" s="12"/>
      <c r="J132" s="12"/>
      <c r="K132" s="43"/>
      <c r="L132" s="30"/>
      <c r="M132" s="25"/>
      <c r="N132" s="12"/>
      <c r="O132" s="12"/>
      <c r="P132" s="12"/>
      <c r="Q132" s="44"/>
      <c r="R132" s="12"/>
      <c r="S132" s="12"/>
      <c r="T132" s="12"/>
      <c r="U132" s="43"/>
      <c r="V132" s="44"/>
      <c r="W132" s="12"/>
      <c r="X132" s="12"/>
      <c r="Y132" s="12"/>
      <c r="Z132" s="43"/>
      <c r="AA132" s="43"/>
      <c r="AB132" s="12"/>
      <c r="AC132" s="12"/>
      <c r="AD132" s="12"/>
      <c r="AE132" s="12"/>
      <c r="AF132" s="12"/>
      <c r="AG132" s="12"/>
      <c r="AH132" s="12"/>
      <c r="AI132" s="12"/>
      <c r="AJ132" s="42"/>
      <c r="AK132" s="12"/>
      <c r="AL132" s="12"/>
      <c r="AM132" s="12"/>
      <c r="AN132" s="43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45"/>
      <c r="BV132" s="25"/>
      <c r="BW132" s="25"/>
      <c r="BX132" s="25"/>
      <c r="BY132" s="25"/>
      <c r="BZ132" s="25"/>
      <c r="CA132" s="25"/>
      <c r="CB132" s="26"/>
      <c r="CC132" s="26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46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25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30"/>
      <c r="GP132" s="30"/>
      <c r="GQ132" s="12"/>
      <c r="GR132" s="30"/>
      <c r="GS132" s="12"/>
      <c r="GT132" s="12"/>
      <c r="GU132" s="25"/>
      <c r="GV132" s="12"/>
      <c r="GW132" s="12"/>
      <c r="GX132" s="30"/>
      <c r="GY132" s="30"/>
      <c r="GZ132" s="30"/>
      <c r="HA132" s="30"/>
      <c r="HB132" s="30"/>
      <c r="HC132" s="30"/>
      <c r="HD132" s="30"/>
      <c r="HE132" s="30"/>
      <c r="HF132" s="30"/>
      <c r="HG132" s="30"/>
      <c r="HH132" s="30"/>
      <c r="HI132" s="12"/>
      <c r="HJ132" s="12"/>
      <c r="HK132" s="12"/>
      <c r="HL132" s="12"/>
      <c r="HM132" s="12"/>
      <c r="HN132" s="12"/>
    </row>
    <row r="133" ht="13.5" customHeight="1">
      <c r="A133" s="12"/>
      <c r="B133" s="12"/>
      <c r="C133" s="12"/>
      <c r="D133" s="12"/>
      <c r="E133" s="42"/>
      <c r="F133" s="12"/>
      <c r="G133" s="12"/>
      <c r="H133" s="43"/>
      <c r="I133" s="12"/>
      <c r="J133" s="12"/>
      <c r="K133" s="43"/>
      <c r="L133" s="30"/>
      <c r="M133" s="25"/>
      <c r="N133" s="12"/>
      <c r="O133" s="12"/>
      <c r="P133" s="12"/>
      <c r="Q133" s="44"/>
      <c r="R133" s="12"/>
      <c r="S133" s="12"/>
      <c r="T133" s="12"/>
      <c r="U133" s="43"/>
      <c r="V133" s="44"/>
      <c r="W133" s="12"/>
      <c r="X133" s="12"/>
      <c r="Y133" s="12"/>
      <c r="Z133" s="43"/>
      <c r="AA133" s="43"/>
      <c r="AB133" s="12"/>
      <c r="AC133" s="12"/>
      <c r="AD133" s="12"/>
      <c r="AE133" s="12"/>
      <c r="AF133" s="12"/>
      <c r="AG133" s="12"/>
      <c r="AH133" s="12"/>
      <c r="AI133" s="12"/>
      <c r="AJ133" s="42"/>
      <c r="AK133" s="12"/>
      <c r="AL133" s="12"/>
      <c r="AM133" s="12"/>
      <c r="AN133" s="43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45"/>
      <c r="BV133" s="25"/>
      <c r="BW133" s="25"/>
      <c r="BX133" s="25"/>
      <c r="BY133" s="25"/>
      <c r="BZ133" s="25"/>
      <c r="CA133" s="25"/>
      <c r="CB133" s="26"/>
      <c r="CC133" s="26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46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25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30"/>
      <c r="GP133" s="30"/>
      <c r="GQ133" s="12"/>
      <c r="GR133" s="30"/>
      <c r="GS133" s="12"/>
      <c r="GT133" s="12"/>
      <c r="GU133" s="25"/>
      <c r="GV133" s="12"/>
      <c r="GW133" s="12"/>
      <c r="GX133" s="30"/>
      <c r="GY133" s="30"/>
      <c r="GZ133" s="30"/>
      <c r="HA133" s="30"/>
      <c r="HB133" s="30"/>
      <c r="HC133" s="30"/>
      <c r="HD133" s="30"/>
      <c r="HE133" s="30"/>
      <c r="HF133" s="30"/>
      <c r="HG133" s="30"/>
      <c r="HH133" s="30"/>
      <c r="HI133" s="12"/>
      <c r="HJ133" s="12"/>
      <c r="HK133" s="12"/>
      <c r="HL133" s="12"/>
      <c r="HM133" s="12"/>
      <c r="HN133" s="12"/>
    </row>
    <row r="134" ht="13.5" customHeight="1">
      <c r="A134" s="12"/>
      <c r="B134" s="12"/>
      <c r="C134" s="12"/>
      <c r="D134" s="12"/>
      <c r="E134" s="42"/>
      <c r="F134" s="12"/>
      <c r="G134" s="12"/>
      <c r="H134" s="43"/>
      <c r="I134" s="12"/>
      <c r="J134" s="12"/>
      <c r="K134" s="43"/>
      <c r="L134" s="30"/>
      <c r="M134" s="25"/>
      <c r="N134" s="12"/>
      <c r="O134" s="12"/>
      <c r="P134" s="12"/>
      <c r="Q134" s="44"/>
      <c r="R134" s="12"/>
      <c r="S134" s="12"/>
      <c r="T134" s="12"/>
      <c r="U134" s="43"/>
      <c r="V134" s="44"/>
      <c r="W134" s="12"/>
      <c r="X134" s="12"/>
      <c r="Y134" s="12"/>
      <c r="Z134" s="43"/>
      <c r="AA134" s="43"/>
      <c r="AB134" s="12"/>
      <c r="AC134" s="12"/>
      <c r="AD134" s="12"/>
      <c r="AE134" s="12"/>
      <c r="AF134" s="12"/>
      <c r="AG134" s="12"/>
      <c r="AH134" s="12"/>
      <c r="AI134" s="12"/>
      <c r="AJ134" s="42"/>
      <c r="AK134" s="12"/>
      <c r="AL134" s="12"/>
      <c r="AM134" s="12"/>
      <c r="AN134" s="43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45"/>
      <c r="BV134" s="25"/>
      <c r="BW134" s="25"/>
      <c r="BX134" s="25"/>
      <c r="BY134" s="25"/>
      <c r="BZ134" s="25"/>
      <c r="CA134" s="25"/>
      <c r="CB134" s="26"/>
      <c r="CC134" s="26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46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25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30"/>
      <c r="GP134" s="30"/>
      <c r="GQ134" s="12"/>
      <c r="GR134" s="30"/>
      <c r="GS134" s="12"/>
      <c r="GT134" s="12"/>
      <c r="GU134" s="25"/>
      <c r="GV134" s="12"/>
      <c r="GW134" s="12"/>
      <c r="GX134" s="30"/>
      <c r="GY134" s="30"/>
      <c r="GZ134" s="30"/>
      <c r="HA134" s="30"/>
      <c r="HB134" s="30"/>
      <c r="HC134" s="30"/>
      <c r="HD134" s="30"/>
      <c r="HE134" s="30"/>
      <c r="HF134" s="30"/>
      <c r="HG134" s="30"/>
      <c r="HH134" s="30"/>
      <c r="HI134" s="12"/>
      <c r="HJ134" s="12"/>
      <c r="HK134" s="12"/>
      <c r="HL134" s="12"/>
      <c r="HM134" s="12"/>
      <c r="HN134" s="12"/>
    </row>
    <row r="135" ht="13.5" customHeight="1">
      <c r="A135" s="12"/>
      <c r="B135" s="12"/>
      <c r="C135" s="12"/>
      <c r="D135" s="12"/>
      <c r="E135" s="42"/>
      <c r="F135" s="12"/>
      <c r="G135" s="12"/>
      <c r="H135" s="43"/>
      <c r="I135" s="12"/>
      <c r="J135" s="12"/>
      <c r="K135" s="43"/>
      <c r="L135" s="30"/>
      <c r="M135" s="25"/>
      <c r="N135" s="12"/>
      <c r="O135" s="12"/>
      <c r="P135" s="12"/>
      <c r="Q135" s="44"/>
      <c r="R135" s="12"/>
      <c r="S135" s="12"/>
      <c r="T135" s="12"/>
      <c r="U135" s="43"/>
      <c r="V135" s="44"/>
      <c r="W135" s="12"/>
      <c r="X135" s="12"/>
      <c r="Y135" s="12"/>
      <c r="Z135" s="43"/>
      <c r="AA135" s="43"/>
      <c r="AB135" s="12"/>
      <c r="AC135" s="12"/>
      <c r="AD135" s="12"/>
      <c r="AE135" s="12"/>
      <c r="AF135" s="12"/>
      <c r="AG135" s="12"/>
      <c r="AH135" s="12"/>
      <c r="AI135" s="12"/>
      <c r="AJ135" s="42"/>
      <c r="AK135" s="12"/>
      <c r="AL135" s="12"/>
      <c r="AM135" s="12"/>
      <c r="AN135" s="43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45"/>
      <c r="BV135" s="25"/>
      <c r="BW135" s="25"/>
      <c r="BX135" s="25"/>
      <c r="BY135" s="25"/>
      <c r="BZ135" s="25"/>
      <c r="CA135" s="25"/>
      <c r="CB135" s="26"/>
      <c r="CC135" s="26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46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25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30"/>
      <c r="GP135" s="30"/>
      <c r="GQ135" s="12"/>
      <c r="GR135" s="30"/>
      <c r="GS135" s="12"/>
      <c r="GT135" s="12"/>
      <c r="GU135" s="25"/>
      <c r="GV135" s="12"/>
      <c r="GW135" s="12"/>
      <c r="GX135" s="30"/>
      <c r="GY135" s="30"/>
      <c r="GZ135" s="30"/>
      <c r="HA135" s="30"/>
      <c r="HB135" s="30"/>
      <c r="HC135" s="30"/>
      <c r="HD135" s="30"/>
      <c r="HE135" s="30"/>
      <c r="HF135" s="30"/>
      <c r="HG135" s="30"/>
      <c r="HH135" s="30"/>
      <c r="HI135" s="12"/>
      <c r="HJ135" s="12"/>
      <c r="HK135" s="12"/>
      <c r="HL135" s="12"/>
      <c r="HM135" s="12"/>
      <c r="HN135" s="12"/>
    </row>
    <row r="136" ht="13.5" customHeight="1">
      <c r="A136" s="12"/>
      <c r="B136" s="12"/>
      <c r="C136" s="12"/>
      <c r="D136" s="12"/>
      <c r="E136" s="42"/>
      <c r="F136" s="12"/>
      <c r="G136" s="12"/>
      <c r="H136" s="43"/>
      <c r="I136" s="12"/>
      <c r="J136" s="12"/>
      <c r="K136" s="43"/>
      <c r="L136" s="30"/>
      <c r="M136" s="25"/>
      <c r="N136" s="12"/>
      <c r="O136" s="12"/>
      <c r="P136" s="12"/>
      <c r="Q136" s="44"/>
      <c r="R136" s="12"/>
      <c r="S136" s="12"/>
      <c r="T136" s="12"/>
      <c r="U136" s="43"/>
      <c r="V136" s="44"/>
      <c r="W136" s="12"/>
      <c r="X136" s="12"/>
      <c r="Y136" s="12"/>
      <c r="Z136" s="43"/>
      <c r="AA136" s="43"/>
      <c r="AB136" s="12"/>
      <c r="AC136" s="12"/>
      <c r="AD136" s="12"/>
      <c r="AE136" s="12"/>
      <c r="AF136" s="12"/>
      <c r="AG136" s="12"/>
      <c r="AH136" s="12"/>
      <c r="AI136" s="12"/>
      <c r="AJ136" s="42"/>
      <c r="AK136" s="12"/>
      <c r="AL136" s="12"/>
      <c r="AM136" s="12"/>
      <c r="AN136" s="43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45"/>
      <c r="BV136" s="25"/>
      <c r="BW136" s="25"/>
      <c r="BX136" s="25"/>
      <c r="BY136" s="25"/>
      <c r="BZ136" s="25"/>
      <c r="CA136" s="25"/>
      <c r="CB136" s="26"/>
      <c r="CC136" s="26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46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25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30"/>
      <c r="GP136" s="30"/>
      <c r="GQ136" s="12"/>
      <c r="GR136" s="30"/>
      <c r="GS136" s="12"/>
      <c r="GT136" s="12"/>
      <c r="GU136" s="25"/>
      <c r="GV136" s="12"/>
      <c r="GW136" s="12"/>
      <c r="GX136" s="30"/>
      <c r="GY136" s="30"/>
      <c r="GZ136" s="30"/>
      <c r="HA136" s="30"/>
      <c r="HB136" s="30"/>
      <c r="HC136" s="30"/>
      <c r="HD136" s="30"/>
      <c r="HE136" s="30"/>
      <c r="HF136" s="30"/>
      <c r="HG136" s="30"/>
      <c r="HH136" s="30"/>
      <c r="HI136" s="12"/>
      <c r="HJ136" s="12"/>
      <c r="HK136" s="12"/>
      <c r="HL136" s="12"/>
      <c r="HM136" s="12"/>
      <c r="HN136" s="12"/>
    </row>
    <row r="137" ht="13.5" customHeight="1">
      <c r="A137" s="12"/>
      <c r="B137" s="12"/>
      <c r="C137" s="12"/>
      <c r="D137" s="12"/>
      <c r="E137" s="42"/>
      <c r="F137" s="12"/>
      <c r="G137" s="12"/>
      <c r="H137" s="43"/>
      <c r="I137" s="12"/>
      <c r="J137" s="12"/>
      <c r="K137" s="43"/>
      <c r="L137" s="30"/>
      <c r="M137" s="25"/>
      <c r="N137" s="12"/>
      <c r="O137" s="12"/>
      <c r="P137" s="12"/>
      <c r="Q137" s="44"/>
      <c r="R137" s="12"/>
      <c r="S137" s="12"/>
      <c r="T137" s="12"/>
      <c r="U137" s="43"/>
      <c r="V137" s="44"/>
      <c r="W137" s="12"/>
      <c r="X137" s="12"/>
      <c r="Y137" s="12"/>
      <c r="Z137" s="43"/>
      <c r="AA137" s="43"/>
      <c r="AB137" s="12"/>
      <c r="AC137" s="12"/>
      <c r="AD137" s="12"/>
      <c r="AE137" s="12"/>
      <c r="AF137" s="12"/>
      <c r="AG137" s="12"/>
      <c r="AH137" s="12"/>
      <c r="AI137" s="12"/>
      <c r="AJ137" s="42"/>
      <c r="AK137" s="12"/>
      <c r="AL137" s="12"/>
      <c r="AM137" s="12"/>
      <c r="AN137" s="43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45"/>
      <c r="BV137" s="25"/>
      <c r="BW137" s="25"/>
      <c r="BX137" s="25"/>
      <c r="BY137" s="25"/>
      <c r="BZ137" s="25"/>
      <c r="CA137" s="25"/>
      <c r="CB137" s="26"/>
      <c r="CC137" s="26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46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25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30"/>
      <c r="GP137" s="30"/>
      <c r="GQ137" s="12"/>
      <c r="GR137" s="30"/>
      <c r="GS137" s="12"/>
      <c r="GT137" s="12"/>
      <c r="GU137" s="25"/>
      <c r="GV137" s="12"/>
      <c r="GW137" s="12"/>
      <c r="GX137" s="30"/>
      <c r="GY137" s="30"/>
      <c r="GZ137" s="30"/>
      <c r="HA137" s="30"/>
      <c r="HB137" s="30"/>
      <c r="HC137" s="30"/>
      <c r="HD137" s="30"/>
      <c r="HE137" s="30"/>
      <c r="HF137" s="30"/>
      <c r="HG137" s="30"/>
      <c r="HH137" s="30"/>
      <c r="HI137" s="12"/>
      <c r="HJ137" s="12"/>
      <c r="HK137" s="12"/>
      <c r="HL137" s="12"/>
      <c r="HM137" s="12"/>
      <c r="HN137" s="12"/>
    </row>
    <row r="138" ht="13.5" customHeight="1">
      <c r="A138" s="12"/>
      <c r="B138" s="12"/>
      <c r="C138" s="12"/>
      <c r="D138" s="12"/>
      <c r="E138" s="42"/>
      <c r="F138" s="12"/>
      <c r="G138" s="12"/>
      <c r="H138" s="43"/>
      <c r="I138" s="12"/>
      <c r="J138" s="12"/>
      <c r="K138" s="43"/>
      <c r="L138" s="30"/>
      <c r="M138" s="25"/>
      <c r="N138" s="12"/>
      <c r="O138" s="12"/>
      <c r="P138" s="12"/>
      <c r="Q138" s="44"/>
      <c r="R138" s="12"/>
      <c r="S138" s="12"/>
      <c r="T138" s="12"/>
      <c r="U138" s="43"/>
      <c r="V138" s="44"/>
      <c r="W138" s="12"/>
      <c r="X138" s="12"/>
      <c r="Y138" s="12"/>
      <c r="Z138" s="43"/>
      <c r="AA138" s="43"/>
      <c r="AB138" s="12"/>
      <c r="AC138" s="12"/>
      <c r="AD138" s="12"/>
      <c r="AE138" s="12"/>
      <c r="AF138" s="12"/>
      <c r="AG138" s="12"/>
      <c r="AH138" s="12"/>
      <c r="AI138" s="12"/>
      <c r="AJ138" s="42"/>
      <c r="AK138" s="12"/>
      <c r="AL138" s="12"/>
      <c r="AM138" s="12"/>
      <c r="AN138" s="43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45"/>
      <c r="BV138" s="25"/>
      <c r="BW138" s="25"/>
      <c r="BX138" s="25"/>
      <c r="BY138" s="25"/>
      <c r="BZ138" s="25"/>
      <c r="CA138" s="25"/>
      <c r="CB138" s="26"/>
      <c r="CC138" s="26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46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25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30"/>
      <c r="GP138" s="30"/>
      <c r="GQ138" s="12"/>
      <c r="GR138" s="30"/>
      <c r="GS138" s="12"/>
      <c r="GT138" s="12"/>
      <c r="GU138" s="25"/>
      <c r="GV138" s="12"/>
      <c r="GW138" s="12"/>
      <c r="GX138" s="30"/>
      <c r="GY138" s="30"/>
      <c r="GZ138" s="30"/>
      <c r="HA138" s="30"/>
      <c r="HB138" s="30"/>
      <c r="HC138" s="30"/>
      <c r="HD138" s="30"/>
      <c r="HE138" s="30"/>
      <c r="HF138" s="30"/>
      <c r="HG138" s="30"/>
      <c r="HH138" s="30"/>
      <c r="HI138" s="12"/>
      <c r="HJ138" s="12"/>
      <c r="HK138" s="12"/>
      <c r="HL138" s="12"/>
      <c r="HM138" s="12"/>
      <c r="HN138" s="12"/>
    </row>
    <row r="139" ht="13.5" customHeight="1">
      <c r="A139" s="12"/>
      <c r="B139" s="12"/>
      <c r="C139" s="12"/>
      <c r="D139" s="12"/>
      <c r="E139" s="42"/>
      <c r="F139" s="12"/>
      <c r="G139" s="12"/>
      <c r="H139" s="43"/>
      <c r="I139" s="12"/>
      <c r="J139" s="12"/>
      <c r="K139" s="43"/>
      <c r="L139" s="30"/>
      <c r="M139" s="25"/>
      <c r="N139" s="12"/>
      <c r="O139" s="12"/>
      <c r="P139" s="12"/>
      <c r="Q139" s="44"/>
      <c r="R139" s="12"/>
      <c r="S139" s="12"/>
      <c r="T139" s="12"/>
      <c r="U139" s="43"/>
      <c r="V139" s="44"/>
      <c r="W139" s="12"/>
      <c r="X139" s="12"/>
      <c r="Y139" s="12"/>
      <c r="Z139" s="43"/>
      <c r="AA139" s="43"/>
      <c r="AB139" s="12"/>
      <c r="AC139" s="12"/>
      <c r="AD139" s="12"/>
      <c r="AE139" s="12"/>
      <c r="AF139" s="12"/>
      <c r="AG139" s="12"/>
      <c r="AH139" s="12"/>
      <c r="AI139" s="12"/>
      <c r="AJ139" s="42"/>
      <c r="AK139" s="12"/>
      <c r="AL139" s="12"/>
      <c r="AM139" s="12"/>
      <c r="AN139" s="43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45"/>
      <c r="BV139" s="25"/>
      <c r="BW139" s="25"/>
      <c r="BX139" s="25"/>
      <c r="BY139" s="25"/>
      <c r="BZ139" s="25"/>
      <c r="CA139" s="25"/>
      <c r="CB139" s="26"/>
      <c r="CC139" s="26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46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25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30"/>
      <c r="GP139" s="30"/>
      <c r="GQ139" s="12"/>
      <c r="GR139" s="30"/>
      <c r="GS139" s="12"/>
      <c r="GT139" s="12"/>
      <c r="GU139" s="25"/>
      <c r="GV139" s="12"/>
      <c r="GW139" s="12"/>
      <c r="GX139" s="30"/>
      <c r="GY139" s="30"/>
      <c r="GZ139" s="30"/>
      <c r="HA139" s="30"/>
      <c r="HB139" s="30"/>
      <c r="HC139" s="30"/>
      <c r="HD139" s="30"/>
      <c r="HE139" s="30"/>
      <c r="HF139" s="30"/>
      <c r="HG139" s="30"/>
      <c r="HH139" s="30"/>
      <c r="HI139" s="12"/>
      <c r="HJ139" s="12"/>
      <c r="HK139" s="12"/>
      <c r="HL139" s="12"/>
      <c r="HM139" s="12"/>
      <c r="HN139" s="12"/>
    </row>
    <row r="140" ht="13.5" customHeight="1">
      <c r="A140" s="12"/>
      <c r="B140" s="12"/>
      <c r="C140" s="12"/>
      <c r="D140" s="12"/>
      <c r="E140" s="42"/>
      <c r="F140" s="12"/>
      <c r="G140" s="12"/>
      <c r="H140" s="43"/>
      <c r="I140" s="12"/>
      <c r="J140" s="12"/>
      <c r="K140" s="43"/>
      <c r="L140" s="30"/>
      <c r="M140" s="25"/>
      <c r="N140" s="12"/>
      <c r="O140" s="12"/>
      <c r="P140" s="12"/>
      <c r="Q140" s="44"/>
      <c r="R140" s="12"/>
      <c r="S140" s="12"/>
      <c r="T140" s="12"/>
      <c r="U140" s="43"/>
      <c r="V140" s="44"/>
      <c r="W140" s="12"/>
      <c r="X140" s="12"/>
      <c r="Y140" s="12"/>
      <c r="Z140" s="43"/>
      <c r="AA140" s="43"/>
      <c r="AB140" s="12"/>
      <c r="AC140" s="12"/>
      <c r="AD140" s="12"/>
      <c r="AE140" s="12"/>
      <c r="AF140" s="12"/>
      <c r="AG140" s="12"/>
      <c r="AH140" s="12"/>
      <c r="AI140" s="12"/>
      <c r="AJ140" s="42"/>
      <c r="AK140" s="12"/>
      <c r="AL140" s="12"/>
      <c r="AM140" s="12"/>
      <c r="AN140" s="43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45"/>
      <c r="BV140" s="25"/>
      <c r="BW140" s="25"/>
      <c r="BX140" s="25"/>
      <c r="BY140" s="25"/>
      <c r="BZ140" s="25"/>
      <c r="CA140" s="25"/>
      <c r="CB140" s="26"/>
      <c r="CC140" s="26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46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25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30"/>
      <c r="GP140" s="30"/>
      <c r="GQ140" s="12"/>
      <c r="GR140" s="30"/>
      <c r="GS140" s="12"/>
      <c r="GT140" s="12"/>
      <c r="GU140" s="25"/>
      <c r="GV140" s="12"/>
      <c r="GW140" s="12"/>
      <c r="GX140" s="30"/>
      <c r="GY140" s="30"/>
      <c r="GZ140" s="30"/>
      <c r="HA140" s="30"/>
      <c r="HB140" s="30"/>
      <c r="HC140" s="30"/>
      <c r="HD140" s="30"/>
      <c r="HE140" s="30"/>
      <c r="HF140" s="30"/>
      <c r="HG140" s="30"/>
      <c r="HH140" s="30"/>
      <c r="HI140" s="12"/>
      <c r="HJ140" s="12"/>
      <c r="HK140" s="12"/>
      <c r="HL140" s="12"/>
      <c r="HM140" s="12"/>
      <c r="HN140" s="12"/>
    </row>
    <row r="141" ht="13.5" customHeight="1">
      <c r="A141" s="12"/>
      <c r="B141" s="12"/>
      <c r="C141" s="12"/>
      <c r="D141" s="12"/>
      <c r="E141" s="42"/>
      <c r="F141" s="12"/>
      <c r="G141" s="12"/>
      <c r="H141" s="43"/>
      <c r="I141" s="12"/>
      <c r="J141" s="12"/>
      <c r="K141" s="43"/>
      <c r="L141" s="30"/>
      <c r="M141" s="25"/>
      <c r="N141" s="12"/>
      <c r="O141" s="12"/>
      <c r="P141" s="12"/>
      <c r="Q141" s="44"/>
      <c r="R141" s="12"/>
      <c r="S141" s="12"/>
      <c r="T141" s="12"/>
      <c r="U141" s="43"/>
      <c r="V141" s="44"/>
      <c r="W141" s="12"/>
      <c r="X141" s="12"/>
      <c r="Y141" s="12"/>
      <c r="Z141" s="43"/>
      <c r="AA141" s="43"/>
      <c r="AB141" s="12"/>
      <c r="AC141" s="12"/>
      <c r="AD141" s="12"/>
      <c r="AE141" s="12"/>
      <c r="AF141" s="12"/>
      <c r="AG141" s="12"/>
      <c r="AH141" s="12"/>
      <c r="AI141" s="12"/>
      <c r="AJ141" s="42"/>
      <c r="AK141" s="12"/>
      <c r="AL141" s="12"/>
      <c r="AM141" s="12"/>
      <c r="AN141" s="43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45"/>
      <c r="BV141" s="25"/>
      <c r="BW141" s="25"/>
      <c r="BX141" s="25"/>
      <c r="BY141" s="25"/>
      <c r="BZ141" s="25"/>
      <c r="CA141" s="25"/>
      <c r="CB141" s="26"/>
      <c r="CC141" s="26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46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25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30"/>
      <c r="GP141" s="30"/>
      <c r="GQ141" s="12"/>
      <c r="GR141" s="30"/>
      <c r="GS141" s="12"/>
      <c r="GT141" s="12"/>
      <c r="GU141" s="25"/>
      <c r="GV141" s="12"/>
      <c r="GW141" s="12"/>
      <c r="GX141" s="30"/>
      <c r="GY141" s="30"/>
      <c r="GZ141" s="30"/>
      <c r="HA141" s="30"/>
      <c r="HB141" s="30"/>
      <c r="HC141" s="30"/>
      <c r="HD141" s="30"/>
      <c r="HE141" s="30"/>
      <c r="HF141" s="30"/>
      <c r="HG141" s="30"/>
      <c r="HH141" s="30"/>
      <c r="HI141" s="12"/>
      <c r="HJ141" s="12"/>
      <c r="HK141" s="12"/>
      <c r="HL141" s="12"/>
      <c r="HM141" s="12"/>
      <c r="HN141" s="12"/>
    </row>
    <row r="142" ht="13.5" customHeight="1">
      <c r="A142" s="12"/>
      <c r="B142" s="12"/>
      <c r="C142" s="12"/>
      <c r="D142" s="12"/>
      <c r="E142" s="42"/>
      <c r="F142" s="12"/>
      <c r="G142" s="12"/>
      <c r="H142" s="43"/>
      <c r="I142" s="12"/>
      <c r="J142" s="12"/>
      <c r="K142" s="43"/>
      <c r="L142" s="30"/>
      <c r="M142" s="25"/>
      <c r="N142" s="12"/>
      <c r="O142" s="12"/>
      <c r="P142" s="12"/>
      <c r="Q142" s="44"/>
      <c r="R142" s="12"/>
      <c r="S142" s="12"/>
      <c r="T142" s="12"/>
      <c r="U142" s="43"/>
      <c r="V142" s="44"/>
      <c r="W142" s="12"/>
      <c r="X142" s="12"/>
      <c r="Y142" s="12"/>
      <c r="Z142" s="43"/>
      <c r="AA142" s="43"/>
      <c r="AB142" s="12"/>
      <c r="AC142" s="12"/>
      <c r="AD142" s="12"/>
      <c r="AE142" s="12"/>
      <c r="AF142" s="12"/>
      <c r="AG142" s="12"/>
      <c r="AH142" s="12"/>
      <c r="AI142" s="12"/>
      <c r="AJ142" s="42"/>
      <c r="AK142" s="12"/>
      <c r="AL142" s="12"/>
      <c r="AM142" s="12"/>
      <c r="AN142" s="43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45"/>
      <c r="BV142" s="25"/>
      <c r="BW142" s="25"/>
      <c r="BX142" s="25"/>
      <c r="BY142" s="25"/>
      <c r="BZ142" s="25"/>
      <c r="CA142" s="25"/>
      <c r="CB142" s="26"/>
      <c r="CC142" s="26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46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25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30"/>
      <c r="GP142" s="30"/>
      <c r="GQ142" s="12"/>
      <c r="GR142" s="30"/>
      <c r="GS142" s="12"/>
      <c r="GT142" s="12"/>
      <c r="GU142" s="25"/>
      <c r="GV142" s="12"/>
      <c r="GW142" s="12"/>
      <c r="GX142" s="30"/>
      <c r="GY142" s="30"/>
      <c r="GZ142" s="30"/>
      <c r="HA142" s="30"/>
      <c r="HB142" s="30"/>
      <c r="HC142" s="30"/>
      <c r="HD142" s="30"/>
      <c r="HE142" s="30"/>
      <c r="HF142" s="30"/>
      <c r="HG142" s="30"/>
      <c r="HH142" s="30"/>
      <c r="HI142" s="12"/>
      <c r="HJ142" s="12"/>
      <c r="HK142" s="12"/>
      <c r="HL142" s="12"/>
      <c r="HM142" s="12"/>
      <c r="HN142" s="12"/>
    </row>
    <row r="143" ht="13.5" customHeight="1">
      <c r="A143" s="12"/>
      <c r="B143" s="12"/>
      <c r="C143" s="12"/>
      <c r="D143" s="12"/>
      <c r="E143" s="42"/>
      <c r="F143" s="12"/>
      <c r="G143" s="12"/>
      <c r="H143" s="43"/>
      <c r="I143" s="12"/>
      <c r="J143" s="12"/>
      <c r="K143" s="43"/>
      <c r="L143" s="30"/>
      <c r="M143" s="25"/>
      <c r="N143" s="12"/>
      <c r="O143" s="12"/>
      <c r="P143" s="12"/>
      <c r="Q143" s="44"/>
      <c r="R143" s="12"/>
      <c r="S143" s="12"/>
      <c r="T143" s="12"/>
      <c r="U143" s="43"/>
      <c r="V143" s="44"/>
      <c r="W143" s="12"/>
      <c r="X143" s="12"/>
      <c r="Y143" s="12"/>
      <c r="Z143" s="43"/>
      <c r="AA143" s="43"/>
      <c r="AB143" s="12"/>
      <c r="AC143" s="12"/>
      <c r="AD143" s="12"/>
      <c r="AE143" s="12"/>
      <c r="AF143" s="12"/>
      <c r="AG143" s="12"/>
      <c r="AH143" s="12"/>
      <c r="AI143" s="12"/>
      <c r="AJ143" s="42"/>
      <c r="AK143" s="12"/>
      <c r="AL143" s="12"/>
      <c r="AM143" s="12"/>
      <c r="AN143" s="43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45"/>
      <c r="BV143" s="25"/>
      <c r="BW143" s="25"/>
      <c r="BX143" s="25"/>
      <c r="BY143" s="25"/>
      <c r="BZ143" s="25"/>
      <c r="CA143" s="25"/>
      <c r="CB143" s="26"/>
      <c r="CC143" s="26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46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25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30"/>
      <c r="GP143" s="30"/>
      <c r="GQ143" s="12"/>
      <c r="GR143" s="30"/>
      <c r="GS143" s="12"/>
      <c r="GT143" s="12"/>
      <c r="GU143" s="25"/>
      <c r="GV143" s="12"/>
      <c r="GW143" s="12"/>
      <c r="GX143" s="30"/>
      <c r="GY143" s="30"/>
      <c r="GZ143" s="30"/>
      <c r="HA143" s="30"/>
      <c r="HB143" s="30"/>
      <c r="HC143" s="30"/>
      <c r="HD143" s="30"/>
      <c r="HE143" s="30"/>
      <c r="HF143" s="30"/>
      <c r="HG143" s="30"/>
      <c r="HH143" s="30"/>
      <c r="HI143" s="12"/>
      <c r="HJ143" s="12"/>
      <c r="HK143" s="12"/>
      <c r="HL143" s="12"/>
      <c r="HM143" s="12"/>
      <c r="HN143" s="12"/>
    </row>
    <row r="144" ht="13.5" customHeight="1">
      <c r="A144" s="12"/>
      <c r="B144" s="12"/>
      <c r="C144" s="12"/>
      <c r="D144" s="12"/>
      <c r="E144" s="42"/>
      <c r="F144" s="12"/>
      <c r="G144" s="12"/>
      <c r="H144" s="43"/>
      <c r="I144" s="12"/>
      <c r="J144" s="12"/>
      <c r="K144" s="43"/>
      <c r="L144" s="30"/>
      <c r="M144" s="25"/>
      <c r="N144" s="12"/>
      <c r="O144" s="12"/>
      <c r="P144" s="12"/>
      <c r="Q144" s="44"/>
      <c r="R144" s="12"/>
      <c r="S144" s="12"/>
      <c r="T144" s="12"/>
      <c r="U144" s="43"/>
      <c r="V144" s="44"/>
      <c r="W144" s="12"/>
      <c r="X144" s="12"/>
      <c r="Y144" s="12"/>
      <c r="Z144" s="43"/>
      <c r="AA144" s="43"/>
      <c r="AB144" s="12"/>
      <c r="AC144" s="12"/>
      <c r="AD144" s="12"/>
      <c r="AE144" s="12"/>
      <c r="AF144" s="12"/>
      <c r="AG144" s="12"/>
      <c r="AH144" s="12"/>
      <c r="AI144" s="12"/>
      <c r="AJ144" s="42"/>
      <c r="AK144" s="12"/>
      <c r="AL144" s="12"/>
      <c r="AM144" s="12"/>
      <c r="AN144" s="43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45"/>
      <c r="BV144" s="25"/>
      <c r="BW144" s="25"/>
      <c r="BX144" s="25"/>
      <c r="BY144" s="25"/>
      <c r="BZ144" s="25"/>
      <c r="CA144" s="25"/>
      <c r="CB144" s="26"/>
      <c r="CC144" s="26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46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25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30"/>
      <c r="GP144" s="30"/>
      <c r="GQ144" s="12"/>
      <c r="GR144" s="30"/>
      <c r="GS144" s="12"/>
      <c r="GT144" s="12"/>
      <c r="GU144" s="25"/>
      <c r="GV144" s="12"/>
      <c r="GW144" s="12"/>
      <c r="GX144" s="30"/>
      <c r="GY144" s="30"/>
      <c r="GZ144" s="30"/>
      <c r="HA144" s="30"/>
      <c r="HB144" s="30"/>
      <c r="HC144" s="30"/>
      <c r="HD144" s="30"/>
      <c r="HE144" s="30"/>
      <c r="HF144" s="30"/>
      <c r="HG144" s="30"/>
      <c r="HH144" s="30"/>
      <c r="HI144" s="12"/>
      <c r="HJ144" s="12"/>
      <c r="HK144" s="12"/>
      <c r="HL144" s="12"/>
      <c r="HM144" s="12"/>
      <c r="HN144" s="12"/>
    </row>
    <row r="145" ht="13.5" customHeight="1">
      <c r="A145" s="12"/>
      <c r="B145" s="12"/>
      <c r="C145" s="12"/>
      <c r="D145" s="12"/>
      <c r="E145" s="42"/>
      <c r="F145" s="12"/>
      <c r="G145" s="12"/>
      <c r="H145" s="43"/>
      <c r="I145" s="12"/>
      <c r="J145" s="12"/>
      <c r="K145" s="43"/>
      <c r="L145" s="30"/>
      <c r="M145" s="25"/>
      <c r="N145" s="12"/>
      <c r="O145" s="12"/>
      <c r="P145" s="12"/>
      <c r="Q145" s="44"/>
      <c r="R145" s="12"/>
      <c r="S145" s="12"/>
      <c r="T145" s="12"/>
      <c r="U145" s="43"/>
      <c r="V145" s="44"/>
      <c r="W145" s="12"/>
      <c r="X145" s="12"/>
      <c r="Y145" s="12"/>
      <c r="Z145" s="43"/>
      <c r="AA145" s="43"/>
      <c r="AB145" s="12"/>
      <c r="AC145" s="12"/>
      <c r="AD145" s="12"/>
      <c r="AE145" s="12"/>
      <c r="AF145" s="12"/>
      <c r="AG145" s="12"/>
      <c r="AH145" s="12"/>
      <c r="AI145" s="12"/>
      <c r="AJ145" s="42"/>
      <c r="AK145" s="12"/>
      <c r="AL145" s="12"/>
      <c r="AM145" s="12"/>
      <c r="AN145" s="43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45"/>
      <c r="BV145" s="25"/>
      <c r="BW145" s="25"/>
      <c r="BX145" s="25"/>
      <c r="BY145" s="25"/>
      <c r="BZ145" s="25"/>
      <c r="CA145" s="25"/>
      <c r="CB145" s="26"/>
      <c r="CC145" s="26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46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25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30"/>
      <c r="GP145" s="30"/>
      <c r="GQ145" s="12"/>
      <c r="GR145" s="30"/>
      <c r="GS145" s="12"/>
      <c r="GT145" s="12"/>
      <c r="GU145" s="25"/>
      <c r="GV145" s="12"/>
      <c r="GW145" s="12"/>
      <c r="GX145" s="30"/>
      <c r="GY145" s="30"/>
      <c r="GZ145" s="30"/>
      <c r="HA145" s="30"/>
      <c r="HB145" s="30"/>
      <c r="HC145" s="30"/>
      <c r="HD145" s="30"/>
      <c r="HE145" s="30"/>
      <c r="HF145" s="30"/>
      <c r="HG145" s="30"/>
      <c r="HH145" s="30"/>
      <c r="HI145" s="12"/>
      <c r="HJ145" s="12"/>
      <c r="HK145" s="12"/>
      <c r="HL145" s="12"/>
      <c r="HM145" s="12"/>
      <c r="HN145" s="12"/>
    </row>
    <row r="146" ht="13.5" customHeight="1">
      <c r="A146" s="12"/>
      <c r="B146" s="12"/>
      <c r="C146" s="12"/>
      <c r="D146" s="12"/>
      <c r="E146" s="42"/>
      <c r="F146" s="12"/>
      <c r="G146" s="12"/>
      <c r="H146" s="43"/>
      <c r="I146" s="12"/>
      <c r="J146" s="12"/>
      <c r="K146" s="43"/>
      <c r="L146" s="30"/>
      <c r="M146" s="25"/>
      <c r="N146" s="12"/>
      <c r="O146" s="12"/>
      <c r="P146" s="12"/>
      <c r="Q146" s="44"/>
      <c r="R146" s="12"/>
      <c r="S146" s="12"/>
      <c r="T146" s="12"/>
      <c r="U146" s="43"/>
      <c r="V146" s="44"/>
      <c r="W146" s="12"/>
      <c r="X146" s="12"/>
      <c r="Y146" s="12"/>
      <c r="Z146" s="43"/>
      <c r="AA146" s="43"/>
      <c r="AB146" s="12"/>
      <c r="AC146" s="12"/>
      <c r="AD146" s="12"/>
      <c r="AE146" s="12"/>
      <c r="AF146" s="12"/>
      <c r="AG146" s="12"/>
      <c r="AH146" s="12"/>
      <c r="AI146" s="12"/>
      <c r="AJ146" s="42"/>
      <c r="AK146" s="12"/>
      <c r="AL146" s="12"/>
      <c r="AM146" s="12"/>
      <c r="AN146" s="43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45"/>
      <c r="BV146" s="25"/>
      <c r="BW146" s="25"/>
      <c r="BX146" s="25"/>
      <c r="BY146" s="25"/>
      <c r="BZ146" s="25"/>
      <c r="CA146" s="25"/>
      <c r="CB146" s="26"/>
      <c r="CC146" s="26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46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25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30"/>
      <c r="GP146" s="30"/>
      <c r="GQ146" s="12"/>
      <c r="GR146" s="30"/>
      <c r="GS146" s="12"/>
      <c r="GT146" s="12"/>
      <c r="GU146" s="25"/>
      <c r="GV146" s="12"/>
      <c r="GW146" s="12"/>
      <c r="GX146" s="30"/>
      <c r="GY146" s="30"/>
      <c r="GZ146" s="30"/>
      <c r="HA146" s="30"/>
      <c r="HB146" s="30"/>
      <c r="HC146" s="30"/>
      <c r="HD146" s="30"/>
      <c r="HE146" s="30"/>
      <c r="HF146" s="30"/>
      <c r="HG146" s="30"/>
      <c r="HH146" s="30"/>
      <c r="HI146" s="12"/>
      <c r="HJ146" s="12"/>
      <c r="HK146" s="12"/>
      <c r="HL146" s="12"/>
      <c r="HM146" s="12"/>
      <c r="HN146" s="12"/>
    </row>
    <row r="147" ht="13.5" customHeight="1">
      <c r="A147" s="12"/>
      <c r="B147" s="12"/>
      <c r="C147" s="12"/>
      <c r="D147" s="12"/>
      <c r="E147" s="42"/>
      <c r="F147" s="12"/>
      <c r="G147" s="12"/>
      <c r="H147" s="43"/>
      <c r="I147" s="12"/>
      <c r="J147" s="12"/>
      <c r="K147" s="43"/>
      <c r="L147" s="30"/>
      <c r="M147" s="25"/>
      <c r="N147" s="12"/>
      <c r="O147" s="12"/>
      <c r="P147" s="12"/>
      <c r="Q147" s="44"/>
      <c r="R147" s="12"/>
      <c r="S147" s="12"/>
      <c r="T147" s="12"/>
      <c r="U147" s="43"/>
      <c r="V147" s="44"/>
      <c r="W147" s="12"/>
      <c r="X147" s="12"/>
      <c r="Y147" s="12"/>
      <c r="Z147" s="43"/>
      <c r="AA147" s="43"/>
      <c r="AB147" s="12"/>
      <c r="AC147" s="12"/>
      <c r="AD147" s="12"/>
      <c r="AE147" s="12"/>
      <c r="AF147" s="12"/>
      <c r="AG147" s="12"/>
      <c r="AH147" s="12"/>
      <c r="AI147" s="12"/>
      <c r="AJ147" s="42"/>
      <c r="AK147" s="12"/>
      <c r="AL147" s="12"/>
      <c r="AM147" s="12"/>
      <c r="AN147" s="43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45"/>
      <c r="BV147" s="25"/>
      <c r="BW147" s="25"/>
      <c r="BX147" s="25"/>
      <c r="BY147" s="25"/>
      <c r="BZ147" s="25"/>
      <c r="CA147" s="25"/>
      <c r="CB147" s="26"/>
      <c r="CC147" s="26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46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25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30"/>
      <c r="GP147" s="30"/>
      <c r="GQ147" s="12"/>
      <c r="GR147" s="30"/>
      <c r="GS147" s="12"/>
      <c r="GT147" s="12"/>
      <c r="GU147" s="25"/>
      <c r="GV147" s="12"/>
      <c r="GW147" s="12"/>
      <c r="GX147" s="30"/>
      <c r="GY147" s="30"/>
      <c r="GZ147" s="30"/>
      <c r="HA147" s="30"/>
      <c r="HB147" s="30"/>
      <c r="HC147" s="30"/>
      <c r="HD147" s="30"/>
      <c r="HE147" s="30"/>
      <c r="HF147" s="30"/>
      <c r="HG147" s="30"/>
      <c r="HH147" s="30"/>
      <c r="HI147" s="12"/>
      <c r="HJ147" s="12"/>
      <c r="HK147" s="12"/>
      <c r="HL147" s="12"/>
      <c r="HM147" s="12"/>
      <c r="HN147" s="12"/>
    </row>
    <row r="148" ht="13.5" customHeight="1">
      <c r="A148" s="12"/>
      <c r="B148" s="12"/>
      <c r="C148" s="12"/>
      <c r="D148" s="12"/>
      <c r="E148" s="42"/>
      <c r="F148" s="12"/>
      <c r="G148" s="12"/>
      <c r="H148" s="43"/>
      <c r="I148" s="12"/>
      <c r="J148" s="12"/>
      <c r="K148" s="43"/>
      <c r="L148" s="30"/>
      <c r="M148" s="25"/>
      <c r="N148" s="12"/>
      <c r="O148" s="12"/>
      <c r="P148" s="12"/>
      <c r="Q148" s="44"/>
      <c r="R148" s="12"/>
      <c r="S148" s="12"/>
      <c r="T148" s="12"/>
      <c r="U148" s="43"/>
      <c r="V148" s="44"/>
      <c r="W148" s="12"/>
      <c r="X148" s="12"/>
      <c r="Y148" s="12"/>
      <c r="Z148" s="43"/>
      <c r="AA148" s="43"/>
      <c r="AB148" s="12"/>
      <c r="AC148" s="12"/>
      <c r="AD148" s="12"/>
      <c r="AE148" s="12"/>
      <c r="AF148" s="12"/>
      <c r="AG148" s="12"/>
      <c r="AH148" s="12"/>
      <c r="AI148" s="12"/>
      <c r="AJ148" s="42"/>
      <c r="AK148" s="12"/>
      <c r="AL148" s="12"/>
      <c r="AM148" s="12"/>
      <c r="AN148" s="43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45"/>
      <c r="BV148" s="25"/>
      <c r="BW148" s="25"/>
      <c r="BX148" s="25"/>
      <c r="BY148" s="25"/>
      <c r="BZ148" s="25"/>
      <c r="CA148" s="25"/>
      <c r="CB148" s="26"/>
      <c r="CC148" s="26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46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25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30"/>
      <c r="GP148" s="30"/>
      <c r="GQ148" s="12"/>
      <c r="GR148" s="30"/>
      <c r="GS148" s="12"/>
      <c r="GT148" s="12"/>
      <c r="GU148" s="25"/>
      <c r="GV148" s="12"/>
      <c r="GW148" s="12"/>
      <c r="GX148" s="30"/>
      <c r="GY148" s="30"/>
      <c r="GZ148" s="30"/>
      <c r="HA148" s="30"/>
      <c r="HB148" s="30"/>
      <c r="HC148" s="30"/>
      <c r="HD148" s="30"/>
      <c r="HE148" s="30"/>
      <c r="HF148" s="30"/>
      <c r="HG148" s="30"/>
      <c r="HH148" s="30"/>
      <c r="HI148" s="12"/>
      <c r="HJ148" s="12"/>
      <c r="HK148" s="12"/>
      <c r="HL148" s="12"/>
      <c r="HM148" s="12"/>
      <c r="HN148" s="12"/>
    </row>
    <row r="149" ht="13.5" customHeight="1">
      <c r="A149" s="12"/>
      <c r="B149" s="12"/>
      <c r="C149" s="12"/>
      <c r="D149" s="12"/>
      <c r="E149" s="42"/>
      <c r="F149" s="12"/>
      <c r="G149" s="12"/>
      <c r="H149" s="43"/>
      <c r="I149" s="12"/>
      <c r="J149" s="12"/>
      <c r="K149" s="43"/>
      <c r="L149" s="30"/>
      <c r="M149" s="25"/>
      <c r="N149" s="12"/>
      <c r="O149" s="12"/>
      <c r="P149" s="12"/>
      <c r="Q149" s="44"/>
      <c r="R149" s="12"/>
      <c r="S149" s="12"/>
      <c r="T149" s="12"/>
      <c r="U149" s="43"/>
      <c r="V149" s="44"/>
      <c r="W149" s="12"/>
      <c r="X149" s="12"/>
      <c r="Y149" s="12"/>
      <c r="Z149" s="43"/>
      <c r="AA149" s="43"/>
      <c r="AB149" s="12"/>
      <c r="AC149" s="12"/>
      <c r="AD149" s="12"/>
      <c r="AE149" s="12"/>
      <c r="AF149" s="12"/>
      <c r="AG149" s="12"/>
      <c r="AH149" s="12"/>
      <c r="AI149" s="12"/>
      <c r="AJ149" s="42"/>
      <c r="AK149" s="12"/>
      <c r="AL149" s="12"/>
      <c r="AM149" s="12"/>
      <c r="AN149" s="43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45"/>
      <c r="BV149" s="25"/>
      <c r="BW149" s="25"/>
      <c r="BX149" s="25"/>
      <c r="BY149" s="25"/>
      <c r="BZ149" s="25"/>
      <c r="CA149" s="25"/>
      <c r="CB149" s="26"/>
      <c r="CC149" s="26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46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25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30"/>
      <c r="GP149" s="30"/>
      <c r="GQ149" s="12"/>
      <c r="GR149" s="30"/>
      <c r="GS149" s="12"/>
      <c r="GT149" s="12"/>
      <c r="GU149" s="25"/>
      <c r="GV149" s="12"/>
      <c r="GW149" s="12"/>
      <c r="GX149" s="30"/>
      <c r="GY149" s="30"/>
      <c r="GZ149" s="30"/>
      <c r="HA149" s="30"/>
      <c r="HB149" s="30"/>
      <c r="HC149" s="30"/>
      <c r="HD149" s="30"/>
      <c r="HE149" s="30"/>
      <c r="HF149" s="30"/>
      <c r="HG149" s="30"/>
      <c r="HH149" s="30"/>
      <c r="HI149" s="12"/>
      <c r="HJ149" s="12"/>
      <c r="HK149" s="12"/>
      <c r="HL149" s="12"/>
      <c r="HM149" s="12"/>
      <c r="HN149" s="12"/>
    </row>
    <row r="150" ht="13.5" customHeight="1">
      <c r="A150" s="12"/>
      <c r="B150" s="12"/>
      <c r="C150" s="12"/>
      <c r="D150" s="12"/>
      <c r="E150" s="42"/>
      <c r="F150" s="12"/>
      <c r="G150" s="12"/>
      <c r="H150" s="43"/>
      <c r="I150" s="12"/>
      <c r="J150" s="12"/>
      <c r="K150" s="43"/>
      <c r="L150" s="30"/>
      <c r="M150" s="25"/>
      <c r="N150" s="12"/>
      <c r="O150" s="12"/>
      <c r="P150" s="12"/>
      <c r="Q150" s="44"/>
      <c r="R150" s="12"/>
      <c r="S150" s="12"/>
      <c r="T150" s="12"/>
      <c r="U150" s="43"/>
      <c r="V150" s="44"/>
      <c r="W150" s="12"/>
      <c r="X150" s="12"/>
      <c r="Y150" s="12"/>
      <c r="Z150" s="43"/>
      <c r="AA150" s="43"/>
      <c r="AB150" s="12"/>
      <c r="AC150" s="12"/>
      <c r="AD150" s="12"/>
      <c r="AE150" s="12"/>
      <c r="AF150" s="12"/>
      <c r="AG150" s="12"/>
      <c r="AH150" s="12"/>
      <c r="AI150" s="12"/>
      <c r="AJ150" s="42"/>
      <c r="AK150" s="12"/>
      <c r="AL150" s="12"/>
      <c r="AM150" s="12"/>
      <c r="AN150" s="43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45"/>
      <c r="BV150" s="25"/>
      <c r="BW150" s="25"/>
      <c r="BX150" s="25"/>
      <c r="BY150" s="25"/>
      <c r="BZ150" s="25"/>
      <c r="CA150" s="25"/>
      <c r="CB150" s="26"/>
      <c r="CC150" s="26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46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25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30"/>
      <c r="GP150" s="30"/>
      <c r="GQ150" s="12"/>
      <c r="GR150" s="30"/>
      <c r="GS150" s="12"/>
      <c r="GT150" s="12"/>
      <c r="GU150" s="25"/>
      <c r="GV150" s="12"/>
      <c r="GW150" s="12"/>
      <c r="GX150" s="30"/>
      <c r="GY150" s="30"/>
      <c r="GZ150" s="30"/>
      <c r="HA150" s="30"/>
      <c r="HB150" s="30"/>
      <c r="HC150" s="30"/>
      <c r="HD150" s="30"/>
      <c r="HE150" s="30"/>
      <c r="HF150" s="30"/>
      <c r="HG150" s="30"/>
      <c r="HH150" s="30"/>
      <c r="HI150" s="12"/>
      <c r="HJ150" s="12"/>
      <c r="HK150" s="12"/>
      <c r="HL150" s="12"/>
      <c r="HM150" s="12"/>
      <c r="HN150" s="12"/>
    </row>
    <row r="151" ht="13.5" customHeight="1">
      <c r="A151" s="12"/>
      <c r="B151" s="12"/>
      <c r="C151" s="12"/>
      <c r="D151" s="12"/>
      <c r="E151" s="42"/>
      <c r="F151" s="12"/>
      <c r="G151" s="12"/>
      <c r="H151" s="43"/>
      <c r="I151" s="12"/>
      <c r="J151" s="12"/>
      <c r="K151" s="43"/>
      <c r="L151" s="30"/>
      <c r="M151" s="25"/>
      <c r="N151" s="12"/>
      <c r="O151" s="12"/>
      <c r="P151" s="12"/>
      <c r="Q151" s="44"/>
      <c r="R151" s="12"/>
      <c r="S151" s="12"/>
      <c r="T151" s="12"/>
      <c r="U151" s="43"/>
      <c r="V151" s="44"/>
      <c r="W151" s="12"/>
      <c r="X151" s="12"/>
      <c r="Y151" s="12"/>
      <c r="Z151" s="43"/>
      <c r="AA151" s="43"/>
      <c r="AB151" s="12"/>
      <c r="AC151" s="12"/>
      <c r="AD151" s="12"/>
      <c r="AE151" s="12"/>
      <c r="AF151" s="12"/>
      <c r="AG151" s="12"/>
      <c r="AH151" s="12"/>
      <c r="AI151" s="12"/>
      <c r="AJ151" s="42"/>
      <c r="AK151" s="12"/>
      <c r="AL151" s="12"/>
      <c r="AM151" s="12"/>
      <c r="AN151" s="43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45"/>
      <c r="BV151" s="25"/>
      <c r="BW151" s="25"/>
      <c r="BX151" s="25"/>
      <c r="BY151" s="25"/>
      <c r="BZ151" s="25"/>
      <c r="CA151" s="25"/>
      <c r="CB151" s="26"/>
      <c r="CC151" s="26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46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25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30"/>
      <c r="GP151" s="30"/>
      <c r="GQ151" s="12"/>
      <c r="GR151" s="30"/>
      <c r="GS151" s="12"/>
      <c r="GT151" s="12"/>
      <c r="GU151" s="25"/>
      <c r="GV151" s="12"/>
      <c r="GW151" s="12"/>
      <c r="GX151" s="30"/>
      <c r="GY151" s="30"/>
      <c r="GZ151" s="30"/>
      <c r="HA151" s="30"/>
      <c r="HB151" s="30"/>
      <c r="HC151" s="30"/>
      <c r="HD151" s="30"/>
      <c r="HE151" s="30"/>
      <c r="HF151" s="30"/>
      <c r="HG151" s="30"/>
      <c r="HH151" s="30"/>
      <c r="HI151" s="12"/>
      <c r="HJ151" s="12"/>
      <c r="HK151" s="12"/>
      <c r="HL151" s="12"/>
      <c r="HM151" s="12"/>
      <c r="HN151" s="12"/>
    </row>
    <row r="152" ht="13.5" customHeight="1">
      <c r="A152" s="12"/>
      <c r="B152" s="12"/>
      <c r="C152" s="12"/>
      <c r="D152" s="12"/>
      <c r="E152" s="42"/>
      <c r="F152" s="12"/>
      <c r="G152" s="12"/>
      <c r="H152" s="43"/>
      <c r="I152" s="12"/>
      <c r="J152" s="12"/>
      <c r="K152" s="43"/>
      <c r="L152" s="30"/>
      <c r="M152" s="25"/>
      <c r="N152" s="12"/>
      <c r="O152" s="12"/>
      <c r="P152" s="12"/>
      <c r="Q152" s="44"/>
      <c r="R152" s="12"/>
      <c r="S152" s="12"/>
      <c r="T152" s="12"/>
      <c r="U152" s="43"/>
      <c r="V152" s="44"/>
      <c r="W152" s="12"/>
      <c r="X152" s="12"/>
      <c r="Y152" s="12"/>
      <c r="Z152" s="43"/>
      <c r="AA152" s="43"/>
      <c r="AB152" s="12"/>
      <c r="AC152" s="12"/>
      <c r="AD152" s="12"/>
      <c r="AE152" s="12"/>
      <c r="AF152" s="12"/>
      <c r="AG152" s="12"/>
      <c r="AH152" s="12"/>
      <c r="AI152" s="12"/>
      <c r="AJ152" s="42"/>
      <c r="AK152" s="12"/>
      <c r="AL152" s="12"/>
      <c r="AM152" s="12"/>
      <c r="AN152" s="43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45"/>
      <c r="BV152" s="25"/>
      <c r="BW152" s="25"/>
      <c r="BX152" s="25"/>
      <c r="BY152" s="25"/>
      <c r="BZ152" s="25"/>
      <c r="CA152" s="25"/>
      <c r="CB152" s="26"/>
      <c r="CC152" s="26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46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25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30"/>
      <c r="GP152" s="30"/>
      <c r="GQ152" s="12"/>
      <c r="GR152" s="30"/>
      <c r="GS152" s="12"/>
      <c r="GT152" s="12"/>
      <c r="GU152" s="25"/>
      <c r="GV152" s="12"/>
      <c r="GW152" s="12"/>
      <c r="GX152" s="30"/>
      <c r="GY152" s="30"/>
      <c r="GZ152" s="30"/>
      <c r="HA152" s="30"/>
      <c r="HB152" s="30"/>
      <c r="HC152" s="30"/>
      <c r="HD152" s="30"/>
      <c r="HE152" s="30"/>
      <c r="HF152" s="30"/>
      <c r="HG152" s="30"/>
      <c r="HH152" s="30"/>
      <c r="HI152" s="12"/>
      <c r="HJ152" s="12"/>
      <c r="HK152" s="12"/>
      <c r="HL152" s="12"/>
      <c r="HM152" s="12"/>
      <c r="HN152" s="12"/>
    </row>
    <row r="153" ht="13.5" customHeight="1">
      <c r="A153" s="12"/>
      <c r="B153" s="12"/>
      <c r="C153" s="12"/>
      <c r="D153" s="12"/>
      <c r="E153" s="42"/>
      <c r="F153" s="12"/>
      <c r="G153" s="12"/>
      <c r="H153" s="43"/>
      <c r="I153" s="12"/>
      <c r="J153" s="12"/>
      <c r="K153" s="43"/>
      <c r="L153" s="30"/>
      <c r="M153" s="25"/>
      <c r="N153" s="12"/>
      <c r="O153" s="12"/>
      <c r="P153" s="12"/>
      <c r="Q153" s="44"/>
      <c r="R153" s="12"/>
      <c r="S153" s="12"/>
      <c r="T153" s="12"/>
      <c r="U153" s="43"/>
      <c r="V153" s="44"/>
      <c r="W153" s="12"/>
      <c r="X153" s="12"/>
      <c r="Y153" s="12"/>
      <c r="Z153" s="43"/>
      <c r="AA153" s="43"/>
      <c r="AB153" s="12"/>
      <c r="AC153" s="12"/>
      <c r="AD153" s="12"/>
      <c r="AE153" s="12"/>
      <c r="AF153" s="12"/>
      <c r="AG153" s="12"/>
      <c r="AH153" s="12"/>
      <c r="AI153" s="12"/>
      <c r="AJ153" s="42"/>
      <c r="AK153" s="12"/>
      <c r="AL153" s="12"/>
      <c r="AM153" s="12"/>
      <c r="AN153" s="43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45"/>
      <c r="BV153" s="25"/>
      <c r="BW153" s="25"/>
      <c r="BX153" s="25"/>
      <c r="BY153" s="25"/>
      <c r="BZ153" s="25"/>
      <c r="CA153" s="25"/>
      <c r="CB153" s="26"/>
      <c r="CC153" s="26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46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25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30"/>
      <c r="GP153" s="30"/>
      <c r="GQ153" s="12"/>
      <c r="GR153" s="30"/>
      <c r="GS153" s="12"/>
      <c r="GT153" s="12"/>
      <c r="GU153" s="25"/>
      <c r="GV153" s="12"/>
      <c r="GW153" s="12"/>
      <c r="GX153" s="30"/>
      <c r="GY153" s="30"/>
      <c r="GZ153" s="30"/>
      <c r="HA153" s="30"/>
      <c r="HB153" s="30"/>
      <c r="HC153" s="30"/>
      <c r="HD153" s="30"/>
      <c r="HE153" s="30"/>
      <c r="HF153" s="30"/>
      <c r="HG153" s="30"/>
      <c r="HH153" s="30"/>
      <c r="HI153" s="12"/>
      <c r="HJ153" s="12"/>
      <c r="HK153" s="12"/>
      <c r="HL153" s="12"/>
      <c r="HM153" s="12"/>
      <c r="HN153" s="12"/>
    </row>
    <row r="154" ht="13.5" customHeight="1">
      <c r="A154" s="12"/>
      <c r="B154" s="12"/>
      <c r="C154" s="12"/>
      <c r="D154" s="12"/>
      <c r="E154" s="42"/>
      <c r="F154" s="12"/>
      <c r="G154" s="12"/>
      <c r="H154" s="43"/>
      <c r="I154" s="12"/>
      <c r="J154" s="12"/>
      <c r="K154" s="43"/>
      <c r="L154" s="30"/>
      <c r="M154" s="25"/>
      <c r="N154" s="12"/>
      <c r="O154" s="12"/>
      <c r="P154" s="12"/>
      <c r="Q154" s="44"/>
      <c r="R154" s="12"/>
      <c r="S154" s="12"/>
      <c r="T154" s="12"/>
      <c r="U154" s="43"/>
      <c r="V154" s="44"/>
      <c r="W154" s="12"/>
      <c r="X154" s="12"/>
      <c r="Y154" s="12"/>
      <c r="Z154" s="43"/>
      <c r="AA154" s="43"/>
      <c r="AB154" s="12"/>
      <c r="AC154" s="12"/>
      <c r="AD154" s="12"/>
      <c r="AE154" s="12"/>
      <c r="AF154" s="12"/>
      <c r="AG154" s="12"/>
      <c r="AH154" s="12"/>
      <c r="AI154" s="12"/>
      <c r="AJ154" s="42"/>
      <c r="AK154" s="12"/>
      <c r="AL154" s="12"/>
      <c r="AM154" s="12"/>
      <c r="AN154" s="43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45"/>
      <c r="BV154" s="25"/>
      <c r="BW154" s="25"/>
      <c r="BX154" s="25"/>
      <c r="BY154" s="25"/>
      <c r="BZ154" s="25"/>
      <c r="CA154" s="25"/>
      <c r="CB154" s="26"/>
      <c r="CC154" s="26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46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25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30"/>
      <c r="GP154" s="30"/>
      <c r="GQ154" s="12"/>
      <c r="GR154" s="30"/>
      <c r="GS154" s="12"/>
      <c r="GT154" s="12"/>
      <c r="GU154" s="25"/>
      <c r="GV154" s="12"/>
      <c r="GW154" s="12"/>
      <c r="GX154" s="30"/>
      <c r="GY154" s="30"/>
      <c r="GZ154" s="30"/>
      <c r="HA154" s="30"/>
      <c r="HB154" s="30"/>
      <c r="HC154" s="30"/>
      <c r="HD154" s="30"/>
      <c r="HE154" s="30"/>
      <c r="HF154" s="30"/>
      <c r="HG154" s="30"/>
      <c r="HH154" s="30"/>
      <c r="HI154" s="12"/>
      <c r="HJ154" s="12"/>
      <c r="HK154" s="12"/>
      <c r="HL154" s="12"/>
      <c r="HM154" s="12"/>
      <c r="HN154" s="12"/>
    </row>
    <row r="155" ht="13.5" customHeight="1">
      <c r="A155" s="12"/>
      <c r="B155" s="12"/>
      <c r="C155" s="12"/>
      <c r="D155" s="12"/>
      <c r="E155" s="42"/>
      <c r="F155" s="12"/>
      <c r="G155" s="12"/>
      <c r="H155" s="43"/>
      <c r="I155" s="12"/>
      <c r="J155" s="12"/>
      <c r="K155" s="43"/>
      <c r="L155" s="30"/>
      <c r="M155" s="25"/>
      <c r="N155" s="12"/>
      <c r="O155" s="12"/>
      <c r="P155" s="12"/>
      <c r="Q155" s="44"/>
      <c r="R155" s="12"/>
      <c r="S155" s="12"/>
      <c r="T155" s="12"/>
      <c r="U155" s="43"/>
      <c r="V155" s="44"/>
      <c r="W155" s="12"/>
      <c r="X155" s="12"/>
      <c r="Y155" s="12"/>
      <c r="Z155" s="43"/>
      <c r="AA155" s="43"/>
      <c r="AB155" s="12"/>
      <c r="AC155" s="12"/>
      <c r="AD155" s="12"/>
      <c r="AE155" s="12"/>
      <c r="AF155" s="12"/>
      <c r="AG155" s="12"/>
      <c r="AH155" s="12"/>
      <c r="AI155" s="12"/>
      <c r="AJ155" s="42"/>
      <c r="AK155" s="12"/>
      <c r="AL155" s="12"/>
      <c r="AM155" s="12"/>
      <c r="AN155" s="43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45"/>
      <c r="BV155" s="25"/>
      <c r="BW155" s="25"/>
      <c r="BX155" s="25"/>
      <c r="BY155" s="25"/>
      <c r="BZ155" s="25"/>
      <c r="CA155" s="25"/>
      <c r="CB155" s="26"/>
      <c r="CC155" s="26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46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25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30"/>
      <c r="GP155" s="30"/>
      <c r="GQ155" s="12"/>
      <c r="GR155" s="30"/>
      <c r="GS155" s="12"/>
      <c r="GT155" s="12"/>
      <c r="GU155" s="25"/>
      <c r="GV155" s="12"/>
      <c r="GW155" s="12"/>
      <c r="GX155" s="30"/>
      <c r="GY155" s="30"/>
      <c r="GZ155" s="30"/>
      <c r="HA155" s="30"/>
      <c r="HB155" s="30"/>
      <c r="HC155" s="30"/>
      <c r="HD155" s="30"/>
      <c r="HE155" s="30"/>
      <c r="HF155" s="30"/>
      <c r="HG155" s="30"/>
      <c r="HH155" s="30"/>
      <c r="HI155" s="12"/>
      <c r="HJ155" s="12"/>
      <c r="HK155" s="12"/>
      <c r="HL155" s="12"/>
      <c r="HM155" s="12"/>
      <c r="HN155" s="12"/>
    </row>
    <row r="156" ht="13.5" customHeight="1">
      <c r="A156" s="12"/>
      <c r="B156" s="12"/>
      <c r="C156" s="12"/>
      <c r="D156" s="12"/>
      <c r="E156" s="42"/>
      <c r="F156" s="12"/>
      <c r="G156" s="12"/>
      <c r="H156" s="43"/>
      <c r="I156" s="12"/>
      <c r="J156" s="12"/>
      <c r="K156" s="43"/>
      <c r="L156" s="30"/>
      <c r="M156" s="25"/>
      <c r="N156" s="12"/>
      <c r="O156" s="12"/>
      <c r="P156" s="12"/>
      <c r="Q156" s="44"/>
      <c r="R156" s="12"/>
      <c r="S156" s="12"/>
      <c r="T156" s="12"/>
      <c r="U156" s="43"/>
      <c r="V156" s="44"/>
      <c r="W156" s="12"/>
      <c r="X156" s="12"/>
      <c r="Y156" s="12"/>
      <c r="Z156" s="43"/>
      <c r="AA156" s="43"/>
      <c r="AB156" s="12"/>
      <c r="AC156" s="12"/>
      <c r="AD156" s="12"/>
      <c r="AE156" s="12"/>
      <c r="AF156" s="12"/>
      <c r="AG156" s="12"/>
      <c r="AH156" s="12"/>
      <c r="AI156" s="12"/>
      <c r="AJ156" s="42"/>
      <c r="AK156" s="12"/>
      <c r="AL156" s="12"/>
      <c r="AM156" s="12"/>
      <c r="AN156" s="43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45"/>
      <c r="BV156" s="25"/>
      <c r="BW156" s="25"/>
      <c r="BX156" s="25"/>
      <c r="BY156" s="25"/>
      <c r="BZ156" s="25"/>
      <c r="CA156" s="25"/>
      <c r="CB156" s="26"/>
      <c r="CC156" s="26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46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25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30"/>
      <c r="GP156" s="30"/>
      <c r="GQ156" s="12"/>
      <c r="GR156" s="30"/>
      <c r="GS156" s="12"/>
      <c r="GT156" s="12"/>
      <c r="GU156" s="25"/>
      <c r="GV156" s="12"/>
      <c r="GW156" s="12"/>
      <c r="GX156" s="30"/>
      <c r="GY156" s="30"/>
      <c r="GZ156" s="30"/>
      <c r="HA156" s="30"/>
      <c r="HB156" s="30"/>
      <c r="HC156" s="30"/>
      <c r="HD156" s="30"/>
      <c r="HE156" s="30"/>
      <c r="HF156" s="30"/>
      <c r="HG156" s="30"/>
      <c r="HH156" s="30"/>
      <c r="HI156" s="12"/>
      <c r="HJ156" s="12"/>
      <c r="HK156" s="12"/>
      <c r="HL156" s="12"/>
      <c r="HM156" s="12"/>
      <c r="HN156" s="12"/>
    </row>
    <row r="157" ht="13.5" customHeight="1">
      <c r="A157" s="12"/>
      <c r="B157" s="12"/>
      <c r="C157" s="12"/>
      <c r="D157" s="12"/>
      <c r="E157" s="42"/>
      <c r="F157" s="12"/>
      <c r="G157" s="12"/>
      <c r="H157" s="43"/>
      <c r="I157" s="12"/>
      <c r="J157" s="12"/>
      <c r="K157" s="43"/>
      <c r="L157" s="30"/>
      <c r="M157" s="25"/>
      <c r="N157" s="12"/>
      <c r="O157" s="12"/>
      <c r="P157" s="12"/>
      <c r="Q157" s="44"/>
      <c r="R157" s="12"/>
      <c r="S157" s="12"/>
      <c r="T157" s="12"/>
      <c r="U157" s="43"/>
      <c r="V157" s="44"/>
      <c r="W157" s="12"/>
      <c r="X157" s="12"/>
      <c r="Y157" s="12"/>
      <c r="Z157" s="43"/>
      <c r="AA157" s="43"/>
      <c r="AB157" s="12"/>
      <c r="AC157" s="12"/>
      <c r="AD157" s="12"/>
      <c r="AE157" s="12"/>
      <c r="AF157" s="12"/>
      <c r="AG157" s="12"/>
      <c r="AH157" s="12"/>
      <c r="AI157" s="12"/>
      <c r="AJ157" s="42"/>
      <c r="AK157" s="12"/>
      <c r="AL157" s="12"/>
      <c r="AM157" s="12"/>
      <c r="AN157" s="43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45"/>
      <c r="BV157" s="25"/>
      <c r="BW157" s="25"/>
      <c r="BX157" s="25"/>
      <c r="BY157" s="25"/>
      <c r="BZ157" s="25"/>
      <c r="CA157" s="25"/>
      <c r="CB157" s="26"/>
      <c r="CC157" s="26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46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25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30"/>
      <c r="GP157" s="30"/>
      <c r="GQ157" s="12"/>
      <c r="GR157" s="30"/>
      <c r="GS157" s="12"/>
      <c r="GT157" s="12"/>
      <c r="GU157" s="25"/>
      <c r="GV157" s="12"/>
      <c r="GW157" s="12"/>
      <c r="GX157" s="30"/>
      <c r="GY157" s="30"/>
      <c r="GZ157" s="30"/>
      <c r="HA157" s="30"/>
      <c r="HB157" s="30"/>
      <c r="HC157" s="30"/>
      <c r="HD157" s="30"/>
      <c r="HE157" s="30"/>
      <c r="HF157" s="30"/>
      <c r="HG157" s="30"/>
      <c r="HH157" s="30"/>
      <c r="HI157" s="12"/>
      <c r="HJ157" s="12"/>
      <c r="HK157" s="12"/>
      <c r="HL157" s="12"/>
      <c r="HM157" s="12"/>
      <c r="HN157" s="12"/>
    </row>
    <row r="158" ht="13.5" customHeight="1">
      <c r="A158" s="12"/>
      <c r="B158" s="12"/>
      <c r="C158" s="12"/>
      <c r="D158" s="12"/>
      <c r="E158" s="42"/>
      <c r="F158" s="12"/>
      <c r="G158" s="12"/>
      <c r="H158" s="43"/>
      <c r="I158" s="12"/>
      <c r="J158" s="12"/>
      <c r="K158" s="43"/>
      <c r="L158" s="30"/>
      <c r="M158" s="25"/>
      <c r="N158" s="12"/>
      <c r="O158" s="12"/>
      <c r="P158" s="12"/>
      <c r="Q158" s="44"/>
      <c r="R158" s="12"/>
      <c r="S158" s="12"/>
      <c r="T158" s="12"/>
      <c r="U158" s="43"/>
      <c r="V158" s="44"/>
      <c r="W158" s="12"/>
      <c r="X158" s="12"/>
      <c r="Y158" s="12"/>
      <c r="Z158" s="43"/>
      <c r="AA158" s="43"/>
      <c r="AB158" s="12"/>
      <c r="AC158" s="12"/>
      <c r="AD158" s="12"/>
      <c r="AE158" s="12"/>
      <c r="AF158" s="12"/>
      <c r="AG158" s="12"/>
      <c r="AH158" s="12"/>
      <c r="AI158" s="12"/>
      <c r="AJ158" s="42"/>
      <c r="AK158" s="12"/>
      <c r="AL158" s="12"/>
      <c r="AM158" s="12"/>
      <c r="AN158" s="43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45"/>
      <c r="BV158" s="25"/>
      <c r="BW158" s="25"/>
      <c r="BX158" s="25"/>
      <c r="BY158" s="25"/>
      <c r="BZ158" s="25"/>
      <c r="CA158" s="25"/>
      <c r="CB158" s="26"/>
      <c r="CC158" s="26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46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25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30"/>
      <c r="GP158" s="30"/>
      <c r="GQ158" s="12"/>
      <c r="GR158" s="30"/>
      <c r="GS158" s="12"/>
      <c r="GT158" s="12"/>
      <c r="GU158" s="25"/>
      <c r="GV158" s="12"/>
      <c r="GW158" s="12"/>
      <c r="GX158" s="30"/>
      <c r="GY158" s="30"/>
      <c r="GZ158" s="30"/>
      <c r="HA158" s="30"/>
      <c r="HB158" s="30"/>
      <c r="HC158" s="30"/>
      <c r="HD158" s="30"/>
      <c r="HE158" s="30"/>
      <c r="HF158" s="30"/>
      <c r="HG158" s="30"/>
      <c r="HH158" s="30"/>
      <c r="HI158" s="12"/>
      <c r="HJ158" s="12"/>
      <c r="HK158" s="12"/>
      <c r="HL158" s="12"/>
      <c r="HM158" s="12"/>
      <c r="HN158" s="12"/>
    </row>
    <row r="159" ht="13.5" customHeight="1">
      <c r="A159" s="12"/>
      <c r="B159" s="12"/>
      <c r="C159" s="12"/>
      <c r="D159" s="12"/>
      <c r="E159" s="42"/>
      <c r="F159" s="12"/>
      <c r="G159" s="12"/>
      <c r="H159" s="43"/>
      <c r="I159" s="12"/>
      <c r="J159" s="12"/>
      <c r="K159" s="43"/>
      <c r="L159" s="30"/>
      <c r="M159" s="25"/>
      <c r="N159" s="12"/>
      <c r="O159" s="12"/>
      <c r="P159" s="12"/>
      <c r="Q159" s="44"/>
      <c r="R159" s="12"/>
      <c r="S159" s="12"/>
      <c r="T159" s="12"/>
      <c r="U159" s="43"/>
      <c r="V159" s="44"/>
      <c r="W159" s="12"/>
      <c r="X159" s="12"/>
      <c r="Y159" s="12"/>
      <c r="Z159" s="43"/>
      <c r="AA159" s="43"/>
      <c r="AB159" s="12"/>
      <c r="AC159" s="12"/>
      <c r="AD159" s="12"/>
      <c r="AE159" s="12"/>
      <c r="AF159" s="12"/>
      <c r="AG159" s="12"/>
      <c r="AH159" s="12"/>
      <c r="AI159" s="12"/>
      <c r="AJ159" s="42"/>
      <c r="AK159" s="12"/>
      <c r="AL159" s="12"/>
      <c r="AM159" s="12"/>
      <c r="AN159" s="43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45"/>
      <c r="BV159" s="25"/>
      <c r="BW159" s="25"/>
      <c r="BX159" s="25"/>
      <c r="BY159" s="25"/>
      <c r="BZ159" s="25"/>
      <c r="CA159" s="25"/>
      <c r="CB159" s="26"/>
      <c r="CC159" s="26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46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25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30"/>
      <c r="GP159" s="30"/>
      <c r="GQ159" s="12"/>
      <c r="GR159" s="30"/>
      <c r="GS159" s="12"/>
      <c r="GT159" s="12"/>
      <c r="GU159" s="25"/>
      <c r="GV159" s="12"/>
      <c r="GW159" s="12"/>
      <c r="GX159" s="30"/>
      <c r="GY159" s="30"/>
      <c r="GZ159" s="30"/>
      <c r="HA159" s="30"/>
      <c r="HB159" s="30"/>
      <c r="HC159" s="30"/>
      <c r="HD159" s="30"/>
      <c r="HE159" s="30"/>
      <c r="HF159" s="30"/>
      <c r="HG159" s="30"/>
      <c r="HH159" s="30"/>
      <c r="HI159" s="12"/>
      <c r="HJ159" s="12"/>
      <c r="HK159" s="12"/>
      <c r="HL159" s="12"/>
      <c r="HM159" s="12"/>
      <c r="HN159" s="12"/>
    </row>
    <row r="160" ht="13.5" customHeight="1">
      <c r="A160" s="12"/>
      <c r="B160" s="12"/>
      <c r="C160" s="12"/>
      <c r="D160" s="12"/>
      <c r="E160" s="42"/>
      <c r="F160" s="12"/>
      <c r="G160" s="12"/>
      <c r="H160" s="43"/>
      <c r="I160" s="12"/>
      <c r="J160" s="12"/>
      <c r="K160" s="43"/>
      <c r="L160" s="30"/>
      <c r="M160" s="25"/>
      <c r="N160" s="12"/>
      <c r="O160" s="12"/>
      <c r="P160" s="12"/>
      <c r="Q160" s="44"/>
      <c r="R160" s="12"/>
      <c r="S160" s="12"/>
      <c r="T160" s="12"/>
      <c r="U160" s="43"/>
      <c r="V160" s="44"/>
      <c r="W160" s="12"/>
      <c r="X160" s="12"/>
      <c r="Y160" s="12"/>
      <c r="Z160" s="43"/>
      <c r="AA160" s="43"/>
      <c r="AB160" s="12"/>
      <c r="AC160" s="12"/>
      <c r="AD160" s="12"/>
      <c r="AE160" s="12"/>
      <c r="AF160" s="12"/>
      <c r="AG160" s="12"/>
      <c r="AH160" s="12"/>
      <c r="AI160" s="12"/>
      <c r="AJ160" s="42"/>
      <c r="AK160" s="12"/>
      <c r="AL160" s="12"/>
      <c r="AM160" s="12"/>
      <c r="AN160" s="43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45"/>
      <c r="BV160" s="25"/>
      <c r="BW160" s="25"/>
      <c r="BX160" s="25"/>
      <c r="BY160" s="25"/>
      <c r="BZ160" s="25"/>
      <c r="CA160" s="25"/>
      <c r="CB160" s="26"/>
      <c r="CC160" s="26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46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25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30"/>
      <c r="GP160" s="30"/>
      <c r="GQ160" s="12"/>
      <c r="GR160" s="30"/>
      <c r="GS160" s="12"/>
      <c r="GT160" s="12"/>
      <c r="GU160" s="25"/>
      <c r="GV160" s="12"/>
      <c r="GW160" s="12"/>
      <c r="GX160" s="30"/>
      <c r="GY160" s="30"/>
      <c r="GZ160" s="30"/>
      <c r="HA160" s="30"/>
      <c r="HB160" s="30"/>
      <c r="HC160" s="30"/>
      <c r="HD160" s="30"/>
      <c r="HE160" s="30"/>
      <c r="HF160" s="30"/>
      <c r="HG160" s="30"/>
      <c r="HH160" s="30"/>
      <c r="HI160" s="12"/>
      <c r="HJ160" s="12"/>
      <c r="HK160" s="12"/>
      <c r="HL160" s="12"/>
      <c r="HM160" s="12"/>
      <c r="HN160" s="12"/>
    </row>
    <row r="161" ht="13.5" customHeight="1">
      <c r="A161" s="12"/>
      <c r="B161" s="12"/>
      <c r="C161" s="12"/>
      <c r="D161" s="12"/>
      <c r="E161" s="42"/>
      <c r="F161" s="12"/>
      <c r="G161" s="12"/>
      <c r="H161" s="43"/>
      <c r="I161" s="12"/>
      <c r="J161" s="12"/>
      <c r="K161" s="43"/>
      <c r="L161" s="30"/>
      <c r="M161" s="25"/>
      <c r="N161" s="12"/>
      <c r="O161" s="12"/>
      <c r="P161" s="12"/>
      <c r="Q161" s="44"/>
      <c r="R161" s="12"/>
      <c r="S161" s="12"/>
      <c r="T161" s="12"/>
      <c r="U161" s="43"/>
      <c r="V161" s="44"/>
      <c r="W161" s="12"/>
      <c r="X161" s="12"/>
      <c r="Y161" s="12"/>
      <c r="Z161" s="43"/>
      <c r="AA161" s="43"/>
      <c r="AB161" s="12"/>
      <c r="AC161" s="12"/>
      <c r="AD161" s="12"/>
      <c r="AE161" s="12"/>
      <c r="AF161" s="12"/>
      <c r="AG161" s="12"/>
      <c r="AH161" s="12"/>
      <c r="AI161" s="12"/>
      <c r="AJ161" s="42"/>
      <c r="AK161" s="12"/>
      <c r="AL161" s="12"/>
      <c r="AM161" s="12"/>
      <c r="AN161" s="43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45"/>
      <c r="BV161" s="25"/>
      <c r="BW161" s="25"/>
      <c r="BX161" s="25"/>
      <c r="BY161" s="25"/>
      <c r="BZ161" s="25"/>
      <c r="CA161" s="25"/>
      <c r="CB161" s="26"/>
      <c r="CC161" s="26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46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25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30"/>
      <c r="GP161" s="30"/>
      <c r="GQ161" s="12"/>
      <c r="GR161" s="30"/>
      <c r="GS161" s="12"/>
      <c r="GT161" s="12"/>
      <c r="GU161" s="25"/>
      <c r="GV161" s="12"/>
      <c r="GW161" s="12"/>
      <c r="GX161" s="30"/>
      <c r="GY161" s="30"/>
      <c r="GZ161" s="30"/>
      <c r="HA161" s="30"/>
      <c r="HB161" s="30"/>
      <c r="HC161" s="30"/>
      <c r="HD161" s="30"/>
      <c r="HE161" s="30"/>
      <c r="HF161" s="30"/>
      <c r="HG161" s="30"/>
      <c r="HH161" s="30"/>
      <c r="HI161" s="12"/>
      <c r="HJ161" s="12"/>
      <c r="HK161" s="12"/>
      <c r="HL161" s="12"/>
      <c r="HM161" s="12"/>
      <c r="HN161" s="12"/>
    </row>
    <row r="162" ht="13.5" customHeight="1">
      <c r="A162" s="12"/>
      <c r="B162" s="12"/>
      <c r="C162" s="12"/>
      <c r="D162" s="12"/>
      <c r="E162" s="42"/>
      <c r="F162" s="12"/>
      <c r="G162" s="12"/>
      <c r="H162" s="43"/>
      <c r="I162" s="12"/>
      <c r="J162" s="12"/>
      <c r="K162" s="43"/>
      <c r="L162" s="30"/>
      <c r="M162" s="25"/>
      <c r="N162" s="12"/>
      <c r="O162" s="12"/>
      <c r="P162" s="12"/>
      <c r="Q162" s="44"/>
      <c r="R162" s="12"/>
      <c r="S162" s="12"/>
      <c r="T162" s="12"/>
      <c r="U162" s="43"/>
      <c r="V162" s="44"/>
      <c r="W162" s="12"/>
      <c r="X162" s="12"/>
      <c r="Y162" s="12"/>
      <c r="Z162" s="43"/>
      <c r="AA162" s="43"/>
      <c r="AB162" s="12"/>
      <c r="AC162" s="12"/>
      <c r="AD162" s="12"/>
      <c r="AE162" s="12"/>
      <c r="AF162" s="12"/>
      <c r="AG162" s="12"/>
      <c r="AH162" s="12"/>
      <c r="AI162" s="12"/>
      <c r="AJ162" s="42"/>
      <c r="AK162" s="12"/>
      <c r="AL162" s="12"/>
      <c r="AM162" s="12"/>
      <c r="AN162" s="43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45"/>
      <c r="BV162" s="25"/>
      <c r="BW162" s="25"/>
      <c r="BX162" s="25"/>
      <c r="BY162" s="25"/>
      <c r="BZ162" s="25"/>
      <c r="CA162" s="25"/>
      <c r="CB162" s="26"/>
      <c r="CC162" s="26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46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25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30"/>
      <c r="GP162" s="30"/>
      <c r="GQ162" s="12"/>
      <c r="GR162" s="30"/>
      <c r="GS162" s="12"/>
      <c r="GT162" s="12"/>
      <c r="GU162" s="25"/>
      <c r="GV162" s="12"/>
      <c r="GW162" s="12"/>
      <c r="GX162" s="30"/>
      <c r="GY162" s="30"/>
      <c r="GZ162" s="30"/>
      <c r="HA162" s="30"/>
      <c r="HB162" s="30"/>
      <c r="HC162" s="30"/>
      <c r="HD162" s="30"/>
      <c r="HE162" s="30"/>
      <c r="HF162" s="30"/>
      <c r="HG162" s="30"/>
      <c r="HH162" s="30"/>
      <c r="HI162" s="12"/>
      <c r="HJ162" s="12"/>
      <c r="HK162" s="12"/>
      <c r="HL162" s="12"/>
      <c r="HM162" s="12"/>
      <c r="HN162" s="12"/>
    </row>
    <row r="163" ht="13.5" customHeight="1">
      <c r="A163" s="12"/>
      <c r="B163" s="12"/>
      <c r="C163" s="12"/>
      <c r="D163" s="12"/>
      <c r="E163" s="42"/>
      <c r="F163" s="12"/>
      <c r="G163" s="12"/>
      <c r="H163" s="43"/>
      <c r="I163" s="12"/>
      <c r="J163" s="12"/>
      <c r="K163" s="43"/>
      <c r="L163" s="30"/>
      <c r="M163" s="25"/>
      <c r="N163" s="12"/>
      <c r="O163" s="12"/>
      <c r="P163" s="12"/>
      <c r="Q163" s="44"/>
      <c r="R163" s="12"/>
      <c r="S163" s="12"/>
      <c r="T163" s="12"/>
      <c r="U163" s="43"/>
      <c r="V163" s="44"/>
      <c r="W163" s="12"/>
      <c r="X163" s="12"/>
      <c r="Y163" s="12"/>
      <c r="Z163" s="43"/>
      <c r="AA163" s="43"/>
      <c r="AB163" s="12"/>
      <c r="AC163" s="12"/>
      <c r="AD163" s="12"/>
      <c r="AE163" s="12"/>
      <c r="AF163" s="12"/>
      <c r="AG163" s="12"/>
      <c r="AH163" s="12"/>
      <c r="AI163" s="12"/>
      <c r="AJ163" s="42"/>
      <c r="AK163" s="12"/>
      <c r="AL163" s="12"/>
      <c r="AM163" s="12"/>
      <c r="AN163" s="43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45"/>
      <c r="BV163" s="25"/>
      <c r="BW163" s="25"/>
      <c r="BX163" s="25"/>
      <c r="BY163" s="25"/>
      <c r="BZ163" s="25"/>
      <c r="CA163" s="25"/>
      <c r="CB163" s="26"/>
      <c r="CC163" s="26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46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25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30"/>
      <c r="GP163" s="30"/>
      <c r="GQ163" s="12"/>
      <c r="GR163" s="30"/>
      <c r="GS163" s="12"/>
      <c r="GT163" s="12"/>
      <c r="GU163" s="25"/>
      <c r="GV163" s="12"/>
      <c r="GW163" s="12"/>
      <c r="GX163" s="30"/>
      <c r="GY163" s="30"/>
      <c r="GZ163" s="30"/>
      <c r="HA163" s="30"/>
      <c r="HB163" s="30"/>
      <c r="HC163" s="30"/>
      <c r="HD163" s="30"/>
      <c r="HE163" s="30"/>
      <c r="HF163" s="30"/>
      <c r="HG163" s="30"/>
      <c r="HH163" s="30"/>
      <c r="HI163" s="12"/>
      <c r="HJ163" s="12"/>
      <c r="HK163" s="12"/>
      <c r="HL163" s="12"/>
      <c r="HM163" s="12"/>
      <c r="HN163" s="12"/>
    </row>
    <row r="164" ht="13.5" customHeight="1">
      <c r="A164" s="12"/>
      <c r="B164" s="12"/>
      <c r="C164" s="12"/>
      <c r="D164" s="12"/>
      <c r="E164" s="42"/>
      <c r="F164" s="12"/>
      <c r="G164" s="12"/>
      <c r="H164" s="43"/>
      <c r="I164" s="12"/>
      <c r="J164" s="12"/>
      <c r="K164" s="43"/>
      <c r="L164" s="30"/>
      <c r="M164" s="25"/>
      <c r="N164" s="12"/>
      <c r="O164" s="12"/>
      <c r="P164" s="12"/>
      <c r="Q164" s="44"/>
      <c r="R164" s="12"/>
      <c r="S164" s="12"/>
      <c r="T164" s="12"/>
      <c r="U164" s="43"/>
      <c r="V164" s="44"/>
      <c r="W164" s="12"/>
      <c r="X164" s="12"/>
      <c r="Y164" s="12"/>
      <c r="Z164" s="43"/>
      <c r="AA164" s="43"/>
      <c r="AB164" s="12"/>
      <c r="AC164" s="12"/>
      <c r="AD164" s="12"/>
      <c r="AE164" s="12"/>
      <c r="AF164" s="12"/>
      <c r="AG164" s="12"/>
      <c r="AH164" s="12"/>
      <c r="AI164" s="12"/>
      <c r="AJ164" s="42"/>
      <c r="AK164" s="12"/>
      <c r="AL164" s="12"/>
      <c r="AM164" s="12"/>
      <c r="AN164" s="43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45"/>
      <c r="BV164" s="25"/>
      <c r="BW164" s="25"/>
      <c r="BX164" s="25"/>
      <c r="BY164" s="25"/>
      <c r="BZ164" s="25"/>
      <c r="CA164" s="25"/>
      <c r="CB164" s="26"/>
      <c r="CC164" s="26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46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25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30"/>
      <c r="GP164" s="30"/>
      <c r="GQ164" s="12"/>
      <c r="GR164" s="30"/>
      <c r="GS164" s="12"/>
      <c r="GT164" s="12"/>
      <c r="GU164" s="25"/>
      <c r="GV164" s="12"/>
      <c r="GW164" s="12"/>
      <c r="GX164" s="30"/>
      <c r="GY164" s="30"/>
      <c r="GZ164" s="30"/>
      <c r="HA164" s="30"/>
      <c r="HB164" s="30"/>
      <c r="HC164" s="30"/>
      <c r="HD164" s="30"/>
      <c r="HE164" s="30"/>
      <c r="HF164" s="30"/>
      <c r="HG164" s="30"/>
      <c r="HH164" s="30"/>
      <c r="HI164" s="12"/>
      <c r="HJ164" s="12"/>
      <c r="HK164" s="12"/>
      <c r="HL164" s="12"/>
      <c r="HM164" s="12"/>
      <c r="HN164" s="12"/>
    </row>
    <row r="165" ht="13.5" customHeight="1">
      <c r="A165" s="12"/>
      <c r="B165" s="12"/>
      <c r="C165" s="12"/>
      <c r="D165" s="12"/>
      <c r="E165" s="42"/>
      <c r="F165" s="12"/>
      <c r="G165" s="12"/>
      <c r="H165" s="43"/>
      <c r="I165" s="12"/>
      <c r="J165" s="12"/>
      <c r="K165" s="43"/>
      <c r="L165" s="30"/>
      <c r="M165" s="25"/>
      <c r="N165" s="12"/>
      <c r="O165" s="12"/>
      <c r="P165" s="12"/>
      <c r="Q165" s="44"/>
      <c r="R165" s="12"/>
      <c r="S165" s="12"/>
      <c r="T165" s="12"/>
      <c r="U165" s="43"/>
      <c r="V165" s="44"/>
      <c r="W165" s="12"/>
      <c r="X165" s="12"/>
      <c r="Y165" s="12"/>
      <c r="Z165" s="43"/>
      <c r="AA165" s="43"/>
      <c r="AB165" s="12"/>
      <c r="AC165" s="12"/>
      <c r="AD165" s="12"/>
      <c r="AE165" s="12"/>
      <c r="AF165" s="12"/>
      <c r="AG165" s="12"/>
      <c r="AH165" s="12"/>
      <c r="AI165" s="12"/>
      <c r="AJ165" s="42"/>
      <c r="AK165" s="12"/>
      <c r="AL165" s="12"/>
      <c r="AM165" s="12"/>
      <c r="AN165" s="43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45"/>
      <c r="BV165" s="25"/>
      <c r="BW165" s="25"/>
      <c r="BX165" s="25"/>
      <c r="BY165" s="25"/>
      <c r="BZ165" s="25"/>
      <c r="CA165" s="25"/>
      <c r="CB165" s="26"/>
      <c r="CC165" s="26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46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25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30"/>
      <c r="GP165" s="30"/>
      <c r="GQ165" s="12"/>
      <c r="GR165" s="30"/>
      <c r="GS165" s="12"/>
      <c r="GT165" s="12"/>
      <c r="GU165" s="25"/>
      <c r="GV165" s="12"/>
      <c r="GW165" s="12"/>
      <c r="GX165" s="30"/>
      <c r="GY165" s="30"/>
      <c r="GZ165" s="30"/>
      <c r="HA165" s="30"/>
      <c r="HB165" s="30"/>
      <c r="HC165" s="30"/>
      <c r="HD165" s="30"/>
      <c r="HE165" s="30"/>
      <c r="HF165" s="30"/>
      <c r="HG165" s="30"/>
      <c r="HH165" s="30"/>
      <c r="HI165" s="12"/>
      <c r="HJ165" s="12"/>
      <c r="HK165" s="12"/>
      <c r="HL165" s="12"/>
      <c r="HM165" s="12"/>
      <c r="HN165" s="12"/>
    </row>
    <row r="166" ht="13.5" customHeight="1">
      <c r="A166" s="12"/>
      <c r="B166" s="12"/>
      <c r="C166" s="12"/>
      <c r="D166" s="12"/>
      <c r="E166" s="42"/>
      <c r="F166" s="12"/>
      <c r="G166" s="12"/>
      <c r="H166" s="43"/>
      <c r="I166" s="12"/>
      <c r="J166" s="12"/>
      <c r="K166" s="43"/>
      <c r="L166" s="30"/>
      <c r="M166" s="25"/>
      <c r="N166" s="12"/>
      <c r="O166" s="12"/>
      <c r="P166" s="12"/>
      <c r="Q166" s="44"/>
      <c r="R166" s="12"/>
      <c r="S166" s="12"/>
      <c r="T166" s="12"/>
      <c r="U166" s="43"/>
      <c r="V166" s="44"/>
      <c r="W166" s="12"/>
      <c r="X166" s="12"/>
      <c r="Y166" s="12"/>
      <c r="Z166" s="43"/>
      <c r="AA166" s="43"/>
      <c r="AB166" s="12"/>
      <c r="AC166" s="12"/>
      <c r="AD166" s="12"/>
      <c r="AE166" s="12"/>
      <c r="AF166" s="12"/>
      <c r="AG166" s="12"/>
      <c r="AH166" s="12"/>
      <c r="AI166" s="12"/>
      <c r="AJ166" s="42"/>
      <c r="AK166" s="12"/>
      <c r="AL166" s="12"/>
      <c r="AM166" s="12"/>
      <c r="AN166" s="43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45"/>
      <c r="BV166" s="25"/>
      <c r="BW166" s="25"/>
      <c r="BX166" s="25"/>
      <c r="BY166" s="25"/>
      <c r="BZ166" s="25"/>
      <c r="CA166" s="25"/>
      <c r="CB166" s="26"/>
      <c r="CC166" s="26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46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25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30"/>
      <c r="GP166" s="30"/>
      <c r="GQ166" s="12"/>
      <c r="GR166" s="30"/>
      <c r="GS166" s="12"/>
      <c r="GT166" s="12"/>
      <c r="GU166" s="25"/>
      <c r="GV166" s="12"/>
      <c r="GW166" s="12"/>
      <c r="GX166" s="30"/>
      <c r="GY166" s="30"/>
      <c r="GZ166" s="30"/>
      <c r="HA166" s="30"/>
      <c r="HB166" s="30"/>
      <c r="HC166" s="30"/>
      <c r="HD166" s="30"/>
      <c r="HE166" s="30"/>
      <c r="HF166" s="30"/>
      <c r="HG166" s="30"/>
      <c r="HH166" s="30"/>
      <c r="HI166" s="12"/>
      <c r="HJ166" s="12"/>
      <c r="HK166" s="12"/>
      <c r="HL166" s="12"/>
      <c r="HM166" s="12"/>
      <c r="HN166" s="12"/>
    </row>
    <row r="167" ht="13.5" customHeight="1">
      <c r="A167" s="12"/>
      <c r="B167" s="12"/>
      <c r="C167" s="12"/>
      <c r="D167" s="12"/>
      <c r="E167" s="42"/>
      <c r="F167" s="12"/>
      <c r="G167" s="12"/>
      <c r="H167" s="43"/>
      <c r="I167" s="12"/>
      <c r="J167" s="12"/>
      <c r="K167" s="43"/>
      <c r="L167" s="30"/>
      <c r="M167" s="25"/>
      <c r="N167" s="12"/>
      <c r="O167" s="12"/>
      <c r="P167" s="12"/>
      <c r="Q167" s="44"/>
      <c r="R167" s="12"/>
      <c r="S167" s="12"/>
      <c r="T167" s="12"/>
      <c r="U167" s="43"/>
      <c r="V167" s="44"/>
      <c r="W167" s="12"/>
      <c r="X167" s="12"/>
      <c r="Y167" s="12"/>
      <c r="Z167" s="43"/>
      <c r="AA167" s="43"/>
      <c r="AB167" s="12"/>
      <c r="AC167" s="12"/>
      <c r="AD167" s="12"/>
      <c r="AE167" s="12"/>
      <c r="AF167" s="12"/>
      <c r="AG167" s="12"/>
      <c r="AH167" s="12"/>
      <c r="AI167" s="12"/>
      <c r="AJ167" s="42"/>
      <c r="AK167" s="12"/>
      <c r="AL167" s="12"/>
      <c r="AM167" s="12"/>
      <c r="AN167" s="43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45"/>
      <c r="BV167" s="25"/>
      <c r="BW167" s="25"/>
      <c r="BX167" s="25"/>
      <c r="BY167" s="25"/>
      <c r="BZ167" s="25"/>
      <c r="CA167" s="25"/>
      <c r="CB167" s="26"/>
      <c r="CC167" s="26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46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25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30"/>
      <c r="GP167" s="30"/>
      <c r="GQ167" s="12"/>
      <c r="GR167" s="30"/>
      <c r="GS167" s="12"/>
      <c r="GT167" s="12"/>
      <c r="GU167" s="25"/>
      <c r="GV167" s="12"/>
      <c r="GW167" s="12"/>
      <c r="GX167" s="30"/>
      <c r="GY167" s="30"/>
      <c r="GZ167" s="30"/>
      <c r="HA167" s="30"/>
      <c r="HB167" s="30"/>
      <c r="HC167" s="30"/>
      <c r="HD167" s="30"/>
      <c r="HE167" s="30"/>
      <c r="HF167" s="30"/>
      <c r="HG167" s="30"/>
      <c r="HH167" s="30"/>
      <c r="HI167" s="12"/>
      <c r="HJ167" s="12"/>
      <c r="HK167" s="12"/>
      <c r="HL167" s="12"/>
      <c r="HM167" s="12"/>
      <c r="HN167" s="12"/>
    </row>
    <row r="168" ht="13.5" customHeight="1">
      <c r="A168" s="12"/>
      <c r="B168" s="12"/>
      <c r="C168" s="12"/>
      <c r="D168" s="12"/>
      <c r="E168" s="42"/>
      <c r="F168" s="12"/>
      <c r="G168" s="12"/>
      <c r="H168" s="43"/>
      <c r="I168" s="12"/>
      <c r="J168" s="12"/>
      <c r="K168" s="43"/>
      <c r="L168" s="30"/>
      <c r="M168" s="25"/>
      <c r="N168" s="12"/>
      <c r="O168" s="12"/>
      <c r="P168" s="12"/>
      <c r="Q168" s="44"/>
      <c r="R168" s="12"/>
      <c r="S168" s="12"/>
      <c r="T168" s="12"/>
      <c r="U168" s="43"/>
      <c r="V168" s="44"/>
      <c r="W168" s="12"/>
      <c r="X168" s="12"/>
      <c r="Y168" s="12"/>
      <c r="Z168" s="43"/>
      <c r="AA168" s="43"/>
      <c r="AB168" s="12"/>
      <c r="AC168" s="12"/>
      <c r="AD168" s="12"/>
      <c r="AE168" s="12"/>
      <c r="AF168" s="12"/>
      <c r="AG168" s="12"/>
      <c r="AH168" s="12"/>
      <c r="AI168" s="12"/>
      <c r="AJ168" s="42"/>
      <c r="AK168" s="12"/>
      <c r="AL168" s="12"/>
      <c r="AM168" s="12"/>
      <c r="AN168" s="43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45"/>
      <c r="BV168" s="25"/>
      <c r="BW168" s="25"/>
      <c r="BX168" s="25"/>
      <c r="BY168" s="25"/>
      <c r="BZ168" s="25"/>
      <c r="CA168" s="25"/>
      <c r="CB168" s="26"/>
      <c r="CC168" s="26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46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25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30"/>
      <c r="GP168" s="30"/>
      <c r="GQ168" s="12"/>
      <c r="GR168" s="30"/>
      <c r="GS168" s="12"/>
      <c r="GT168" s="12"/>
      <c r="GU168" s="25"/>
      <c r="GV168" s="12"/>
      <c r="GW168" s="12"/>
      <c r="GX168" s="30"/>
      <c r="GY168" s="30"/>
      <c r="GZ168" s="30"/>
      <c r="HA168" s="30"/>
      <c r="HB168" s="30"/>
      <c r="HC168" s="30"/>
      <c r="HD168" s="30"/>
      <c r="HE168" s="30"/>
      <c r="HF168" s="30"/>
      <c r="HG168" s="30"/>
      <c r="HH168" s="30"/>
      <c r="HI168" s="12"/>
      <c r="HJ168" s="12"/>
      <c r="HK168" s="12"/>
      <c r="HL168" s="12"/>
      <c r="HM168" s="12"/>
      <c r="HN168" s="12"/>
    </row>
    <row r="169" ht="13.5" customHeight="1">
      <c r="A169" s="12"/>
      <c r="B169" s="12"/>
      <c r="C169" s="12"/>
      <c r="D169" s="12"/>
      <c r="E169" s="42"/>
      <c r="F169" s="12"/>
      <c r="G169" s="12"/>
      <c r="H169" s="43"/>
      <c r="I169" s="12"/>
      <c r="J169" s="12"/>
      <c r="K169" s="43"/>
      <c r="L169" s="30"/>
      <c r="M169" s="25"/>
      <c r="N169" s="12"/>
      <c r="O169" s="12"/>
      <c r="P169" s="12"/>
      <c r="Q169" s="44"/>
      <c r="R169" s="12"/>
      <c r="S169" s="12"/>
      <c r="T169" s="12"/>
      <c r="U169" s="43"/>
      <c r="V169" s="44"/>
      <c r="W169" s="12"/>
      <c r="X169" s="12"/>
      <c r="Y169" s="12"/>
      <c r="Z169" s="43"/>
      <c r="AA169" s="43"/>
      <c r="AB169" s="12"/>
      <c r="AC169" s="12"/>
      <c r="AD169" s="12"/>
      <c r="AE169" s="12"/>
      <c r="AF169" s="12"/>
      <c r="AG169" s="12"/>
      <c r="AH169" s="12"/>
      <c r="AI169" s="12"/>
      <c r="AJ169" s="42"/>
      <c r="AK169" s="12"/>
      <c r="AL169" s="12"/>
      <c r="AM169" s="12"/>
      <c r="AN169" s="43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45"/>
      <c r="BV169" s="25"/>
      <c r="BW169" s="25"/>
      <c r="BX169" s="25"/>
      <c r="BY169" s="25"/>
      <c r="BZ169" s="25"/>
      <c r="CA169" s="25"/>
      <c r="CB169" s="26"/>
      <c r="CC169" s="26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46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25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30"/>
      <c r="GP169" s="30"/>
      <c r="GQ169" s="12"/>
      <c r="GR169" s="30"/>
      <c r="GS169" s="12"/>
      <c r="GT169" s="12"/>
      <c r="GU169" s="25"/>
      <c r="GV169" s="12"/>
      <c r="GW169" s="12"/>
      <c r="GX169" s="30"/>
      <c r="GY169" s="30"/>
      <c r="GZ169" s="30"/>
      <c r="HA169" s="30"/>
      <c r="HB169" s="30"/>
      <c r="HC169" s="30"/>
      <c r="HD169" s="30"/>
      <c r="HE169" s="30"/>
      <c r="HF169" s="30"/>
      <c r="HG169" s="30"/>
      <c r="HH169" s="30"/>
      <c r="HI169" s="12"/>
      <c r="HJ169" s="12"/>
      <c r="HK169" s="12"/>
      <c r="HL169" s="12"/>
      <c r="HM169" s="12"/>
      <c r="HN169" s="12"/>
    </row>
    <row r="170" ht="13.5" customHeight="1">
      <c r="A170" s="12"/>
      <c r="B170" s="12"/>
      <c r="C170" s="12"/>
      <c r="D170" s="12"/>
      <c r="E170" s="42"/>
      <c r="F170" s="12"/>
      <c r="G170" s="12"/>
      <c r="H170" s="43"/>
      <c r="I170" s="12"/>
      <c r="J170" s="12"/>
      <c r="K170" s="43"/>
      <c r="L170" s="30"/>
      <c r="M170" s="25"/>
      <c r="N170" s="12"/>
      <c r="O170" s="12"/>
      <c r="P170" s="12"/>
      <c r="Q170" s="44"/>
      <c r="R170" s="12"/>
      <c r="S170" s="12"/>
      <c r="T170" s="12"/>
      <c r="U170" s="43"/>
      <c r="V170" s="44"/>
      <c r="W170" s="12"/>
      <c r="X170" s="12"/>
      <c r="Y170" s="12"/>
      <c r="Z170" s="43"/>
      <c r="AA170" s="43"/>
      <c r="AB170" s="12"/>
      <c r="AC170" s="12"/>
      <c r="AD170" s="12"/>
      <c r="AE170" s="12"/>
      <c r="AF170" s="12"/>
      <c r="AG170" s="12"/>
      <c r="AH170" s="12"/>
      <c r="AI170" s="12"/>
      <c r="AJ170" s="42"/>
      <c r="AK170" s="12"/>
      <c r="AL170" s="12"/>
      <c r="AM170" s="12"/>
      <c r="AN170" s="43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45"/>
      <c r="BV170" s="25"/>
      <c r="BW170" s="25"/>
      <c r="BX170" s="25"/>
      <c r="BY170" s="25"/>
      <c r="BZ170" s="25"/>
      <c r="CA170" s="25"/>
      <c r="CB170" s="26"/>
      <c r="CC170" s="26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46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25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30"/>
      <c r="GP170" s="30"/>
      <c r="GQ170" s="12"/>
      <c r="GR170" s="30"/>
      <c r="GS170" s="12"/>
      <c r="GT170" s="12"/>
      <c r="GU170" s="25"/>
      <c r="GV170" s="12"/>
      <c r="GW170" s="12"/>
      <c r="GX170" s="30"/>
      <c r="GY170" s="30"/>
      <c r="GZ170" s="30"/>
      <c r="HA170" s="30"/>
      <c r="HB170" s="30"/>
      <c r="HC170" s="30"/>
      <c r="HD170" s="30"/>
      <c r="HE170" s="30"/>
      <c r="HF170" s="30"/>
      <c r="HG170" s="30"/>
      <c r="HH170" s="30"/>
      <c r="HI170" s="12"/>
      <c r="HJ170" s="12"/>
      <c r="HK170" s="12"/>
      <c r="HL170" s="12"/>
      <c r="HM170" s="12"/>
      <c r="HN170" s="12"/>
    </row>
    <row r="171" ht="13.5" customHeight="1">
      <c r="A171" s="12"/>
      <c r="B171" s="12"/>
      <c r="C171" s="12"/>
      <c r="D171" s="12"/>
      <c r="E171" s="42"/>
      <c r="F171" s="12"/>
      <c r="G171" s="12"/>
      <c r="H171" s="43"/>
      <c r="I171" s="12"/>
      <c r="J171" s="12"/>
      <c r="K171" s="43"/>
      <c r="L171" s="30"/>
      <c r="M171" s="25"/>
      <c r="N171" s="12"/>
      <c r="O171" s="12"/>
      <c r="P171" s="12"/>
      <c r="Q171" s="44"/>
      <c r="R171" s="12"/>
      <c r="S171" s="12"/>
      <c r="T171" s="12"/>
      <c r="U171" s="43"/>
      <c r="V171" s="44"/>
      <c r="W171" s="12"/>
      <c r="X171" s="12"/>
      <c r="Y171" s="12"/>
      <c r="Z171" s="43"/>
      <c r="AA171" s="43"/>
      <c r="AB171" s="12"/>
      <c r="AC171" s="12"/>
      <c r="AD171" s="12"/>
      <c r="AE171" s="12"/>
      <c r="AF171" s="12"/>
      <c r="AG171" s="12"/>
      <c r="AH171" s="12"/>
      <c r="AI171" s="12"/>
      <c r="AJ171" s="42"/>
      <c r="AK171" s="12"/>
      <c r="AL171" s="12"/>
      <c r="AM171" s="12"/>
      <c r="AN171" s="43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45"/>
      <c r="BV171" s="25"/>
      <c r="BW171" s="25"/>
      <c r="BX171" s="25"/>
      <c r="BY171" s="25"/>
      <c r="BZ171" s="25"/>
      <c r="CA171" s="25"/>
      <c r="CB171" s="26"/>
      <c r="CC171" s="26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46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25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30"/>
      <c r="GP171" s="30"/>
      <c r="GQ171" s="12"/>
      <c r="GR171" s="30"/>
      <c r="GS171" s="12"/>
      <c r="GT171" s="12"/>
      <c r="GU171" s="25"/>
      <c r="GV171" s="12"/>
      <c r="GW171" s="12"/>
      <c r="GX171" s="30"/>
      <c r="GY171" s="30"/>
      <c r="GZ171" s="30"/>
      <c r="HA171" s="30"/>
      <c r="HB171" s="30"/>
      <c r="HC171" s="30"/>
      <c r="HD171" s="30"/>
      <c r="HE171" s="30"/>
      <c r="HF171" s="30"/>
      <c r="HG171" s="30"/>
      <c r="HH171" s="30"/>
      <c r="HI171" s="12"/>
      <c r="HJ171" s="12"/>
      <c r="HK171" s="12"/>
      <c r="HL171" s="12"/>
      <c r="HM171" s="12"/>
      <c r="HN171" s="12"/>
    </row>
    <row r="172" ht="13.5" customHeight="1">
      <c r="A172" s="12"/>
      <c r="B172" s="12"/>
      <c r="C172" s="12"/>
      <c r="D172" s="12"/>
      <c r="E172" s="42"/>
      <c r="F172" s="12"/>
      <c r="G172" s="12"/>
      <c r="H172" s="43"/>
      <c r="I172" s="12"/>
      <c r="J172" s="12"/>
      <c r="K172" s="43"/>
      <c r="L172" s="30"/>
      <c r="M172" s="25"/>
      <c r="N172" s="12"/>
      <c r="O172" s="12"/>
      <c r="P172" s="12"/>
      <c r="Q172" s="44"/>
      <c r="R172" s="12"/>
      <c r="S172" s="12"/>
      <c r="T172" s="12"/>
      <c r="U172" s="43"/>
      <c r="V172" s="44"/>
      <c r="W172" s="12"/>
      <c r="X172" s="12"/>
      <c r="Y172" s="12"/>
      <c r="Z172" s="43"/>
      <c r="AA172" s="43"/>
      <c r="AB172" s="12"/>
      <c r="AC172" s="12"/>
      <c r="AD172" s="12"/>
      <c r="AE172" s="12"/>
      <c r="AF172" s="12"/>
      <c r="AG172" s="12"/>
      <c r="AH172" s="12"/>
      <c r="AI172" s="12"/>
      <c r="AJ172" s="42"/>
      <c r="AK172" s="12"/>
      <c r="AL172" s="12"/>
      <c r="AM172" s="12"/>
      <c r="AN172" s="43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45"/>
      <c r="BV172" s="25"/>
      <c r="BW172" s="25"/>
      <c r="BX172" s="25"/>
      <c r="BY172" s="25"/>
      <c r="BZ172" s="25"/>
      <c r="CA172" s="25"/>
      <c r="CB172" s="26"/>
      <c r="CC172" s="26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46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25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30"/>
      <c r="GP172" s="30"/>
      <c r="GQ172" s="12"/>
      <c r="GR172" s="30"/>
      <c r="GS172" s="12"/>
      <c r="GT172" s="12"/>
      <c r="GU172" s="25"/>
      <c r="GV172" s="12"/>
      <c r="GW172" s="12"/>
      <c r="GX172" s="30"/>
      <c r="GY172" s="30"/>
      <c r="GZ172" s="30"/>
      <c r="HA172" s="30"/>
      <c r="HB172" s="30"/>
      <c r="HC172" s="30"/>
      <c r="HD172" s="30"/>
      <c r="HE172" s="30"/>
      <c r="HF172" s="30"/>
      <c r="HG172" s="30"/>
      <c r="HH172" s="30"/>
      <c r="HI172" s="12"/>
      <c r="HJ172" s="12"/>
      <c r="HK172" s="12"/>
      <c r="HL172" s="12"/>
      <c r="HM172" s="12"/>
      <c r="HN172" s="12"/>
    </row>
    <row r="173" ht="13.5" customHeight="1">
      <c r="A173" s="12"/>
      <c r="B173" s="12"/>
      <c r="C173" s="12"/>
      <c r="D173" s="12"/>
      <c r="E173" s="42"/>
      <c r="F173" s="12"/>
      <c r="G173" s="12"/>
      <c r="H173" s="43"/>
      <c r="I173" s="12"/>
      <c r="J173" s="12"/>
      <c r="K173" s="43"/>
      <c r="L173" s="30"/>
      <c r="M173" s="25"/>
      <c r="N173" s="12"/>
      <c r="O173" s="12"/>
      <c r="P173" s="12"/>
      <c r="Q173" s="44"/>
      <c r="R173" s="12"/>
      <c r="S173" s="12"/>
      <c r="T173" s="12"/>
      <c r="U173" s="43"/>
      <c r="V173" s="44"/>
      <c r="W173" s="12"/>
      <c r="X173" s="12"/>
      <c r="Y173" s="12"/>
      <c r="Z173" s="43"/>
      <c r="AA173" s="43"/>
      <c r="AB173" s="12"/>
      <c r="AC173" s="12"/>
      <c r="AD173" s="12"/>
      <c r="AE173" s="12"/>
      <c r="AF173" s="12"/>
      <c r="AG173" s="12"/>
      <c r="AH173" s="12"/>
      <c r="AI173" s="12"/>
      <c r="AJ173" s="42"/>
      <c r="AK173" s="12"/>
      <c r="AL173" s="12"/>
      <c r="AM173" s="12"/>
      <c r="AN173" s="43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45"/>
      <c r="BV173" s="25"/>
      <c r="BW173" s="25"/>
      <c r="BX173" s="25"/>
      <c r="BY173" s="25"/>
      <c r="BZ173" s="25"/>
      <c r="CA173" s="25"/>
      <c r="CB173" s="26"/>
      <c r="CC173" s="26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46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25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30"/>
      <c r="GP173" s="30"/>
      <c r="GQ173" s="12"/>
      <c r="GR173" s="30"/>
      <c r="GS173" s="12"/>
      <c r="GT173" s="12"/>
      <c r="GU173" s="25"/>
      <c r="GV173" s="12"/>
      <c r="GW173" s="12"/>
      <c r="GX173" s="30"/>
      <c r="GY173" s="30"/>
      <c r="GZ173" s="30"/>
      <c r="HA173" s="30"/>
      <c r="HB173" s="30"/>
      <c r="HC173" s="30"/>
      <c r="HD173" s="30"/>
      <c r="HE173" s="30"/>
      <c r="HF173" s="30"/>
      <c r="HG173" s="30"/>
      <c r="HH173" s="30"/>
      <c r="HI173" s="12"/>
      <c r="HJ173" s="12"/>
      <c r="HK173" s="12"/>
      <c r="HL173" s="12"/>
      <c r="HM173" s="12"/>
      <c r="HN173" s="12"/>
    </row>
    <row r="174" ht="13.5" customHeight="1">
      <c r="A174" s="12"/>
      <c r="B174" s="12"/>
      <c r="C174" s="12"/>
      <c r="D174" s="12"/>
      <c r="E174" s="42"/>
      <c r="F174" s="12"/>
      <c r="G174" s="12"/>
      <c r="H174" s="43"/>
      <c r="I174" s="12"/>
      <c r="J174" s="12"/>
      <c r="K174" s="43"/>
      <c r="L174" s="30"/>
      <c r="M174" s="25"/>
      <c r="N174" s="12"/>
      <c r="O174" s="12"/>
      <c r="P174" s="12"/>
      <c r="Q174" s="44"/>
      <c r="R174" s="12"/>
      <c r="S174" s="12"/>
      <c r="T174" s="12"/>
      <c r="U174" s="43"/>
      <c r="V174" s="44"/>
      <c r="W174" s="12"/>
      <c r="X174" s="12"/>
      <c r="Y174" s="12"/>
      <c r="Z174" s="43"/>
      <c r="AA174" s="43"/>
      <c r="AB174" s="12"/>
      <c r="AC174" s="12"/>
      <c r="AD174" s="12"/>
      <c r="AE174" s="12"/>
      <c r="AF174" s="12"/>
      <c r="AG174" s="12"/>
      <c r="AH174" s="12"/>
      <c r="AI174" s="12"/>
      <c r="AJ174" s="42"/>
      <c r="AK174" s="12"/>
      <c r="AL174" s="12"/>
      <c r="AM174" s="12"/>
      <c r="AN174" s="43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45"/>
      <c r="BV174" s="25"/>
      <c r="BW174" s="25"/>
      <c r="BX174" s="25"/>
      <c r="BY174" s="25"/>
      <c r="BZ174" s="25"/>
      <c r="CA174" s="25"/>
      <c r="CB174" s="26"/>
      <c r="CC174" s="26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46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25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30"/>
      <c r="GP174" s="30"/>
      <c r="GQ174" s="12"/>
      <c r="GR174" s="30"/>
      <c r="GS174" s="12"/>
      <c r="GT174" s="12"/>
      <c r="GU174" s="25"/>
      <c r="GV174" s="12"/>
      <c r="GW174" s="12"/>
      <c r="GX174" s="30"/>
      <c r="GY174" s="30"/>
      <c r="GZ174" s="30"/>
      <c r="HA174" s="30"/>
      <c r="HB174" s="30"/>
      <c r="HC174" s="30"/>
      <c r="HD174" s="30"/>
      <c r="HE174" s="30"/>
      <c r="HF174" s="30"/>
      <c r="HG174" s="30"/>
      <c r="HH174" s="30"/>
      <c r="HI174" s="12"/>
      <c r="HJ174" s="12"/>
      <c r="HK174" s="12"/>
      <c r="HL174" s="12"/>
      <c r="HM174" s="12"/>
      <c r="HN174" s="12"/>
    </row>
    <row r="175" ht="13.5" customHeight="1">
      <c r="A175" s="12"/>
      <c r="B175" s="12"/>
      <c r="C175" s="12"/>
      <c r="D175" s="12"/>
      <c r="E175" s="42"/>
      <c r="F175" s="12"/>
      <c r="G175" s="12"/>
      <c r="H175" s="43"/>
      <c r="I175" s="12"/>
      <c r="J175" s="12"/>
      <c r="K175" s="43"/>
      <c r="L175" s="30"/>
      <c r="M175" s="25"/>
      <c r="N175" s="12"/>
      <c r="O175" s="12"/>
      <c r="P175" s="12"/>
      <c r="Q175" s="44"/>
      <c r="R175" s="12"/>
      <c r="S175" s="12"/>
      <c r="T175" s="12"/>
      <c r="U175" s="43"/>
      <c r="V175" s="44"/>
      <c r="W175" s="12"/>
      <c r="X175" s="12"/>
      <c r="Y175" s="12"/>
      <c r="Z175" s="43"/>
      <c r="AA175" s="43"/>
      <c r="AB175" s="12"/>
      <c r="AC175" s="12"/>
      <c r="AD175" s="12"/>
      <c r="AE175" s="12"/>
      <c r="AF175" s="12"/>
      <c r="AG175" s="12"/>
      <c r="AH175" s="12"/>
      <c r="AI175" s="12"/>
      <c r="AJ175" s="42"/>
      <c r="AK175" s="12"/>
      <c r="AL175" s="12"/>
      <c r="AM175" s="12"/>
      <c r="AN175" s="43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45"/>
      <c r="BV175" s="25"/>
      <c r="BW175" s="25"/>
      <c r="BX175" s="25"/>
      <c r="BY175" s="25"/>
      <c r="BZ175" s="25"/>
      <c r="CA175" s="25"/>
      <c r="CB175" s="26"/>
      <c r="CC175" s="26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46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25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30"/>
      <c r="GP175" s="30"/>
      <c r="GQ175" s="12"/>
      <c r="GR175" s="30"/>
      <c r="GS175" s="12"/>
      <c r="GT175" s="12"/>
      <c r="GU175" s="25"/>
      <c r="GV175" s="12"/>
      <c r="GW175" s="12"/>
      <c r="GX175" s="30"/>
      <c r="GY175" s="30"/>
      <c r="GZ175" s="30"/>
      <c r="HA175" s="30"/>
      <c r="HB175" s="30"/>
      <c r="HC175" s="30"/>
      <c r="HD175" s="30"/>
      <c r="HE175" s="30"/>
      <c r="HF175" s="30"/>
      <c r="HG175" s="30"/>
      <c r="HH175" s="30"/>
      <c r="HI175" s="12"/>
      <c r="HJ175" s="12"/>
      <c r="HK175" s="12"/>
      <c r="HL175" s="12"/>
      <c r="HM175" s="12"/>
      <c r="HN175" s="12"/>
    </row>
    <row r="176" ht="13.5" customHeight="1">
      <c r="A176" s="12"/>
      <c r="B176" s="12"/>
      <c r="C176" s="12"/>
      <c r="D176" s="12"/>
      <c r="E176" s="42"/>
      <c r="F176" s="12"/>
      <c r="G176" s="12"/>
      <c r="H176" s="43"/>
      <c r="I176" s="12"/>
      <c r="J176" s="12"/>
      <c r="K176" s="43"/>
      <c r="L176" s="30"/>
      <c r="M176" s="25"/>
      <c r="N176" s="12"/>
      <c r="O176" s="12"/>
      <c r="P176" s="12"/>
      <c r="Q176" s="44"/>
      <c r="R176" s="12"/>
      <c r="S176" s="12"/>
      <c r="T176" s="12"/>
      <c r="U176" s="43"/>
      <c r="V176" s="44"/>
      <c r="W176" s="12"/>
      <c r="X176" s="12"/>
      <c r="Y176" s="12"/>
      <c r="Z176" s="43"/>
      <c r="AA176" s="43"/>
      <c r="AB176" s="12"/>
      <c r="AC176" s="12"/>
      <c r="AD176" s="12"/>
      <c r="AE176" s="12"/>
      <c r="AF176" s="12"/>
      <c r="AG176" s="12"/>
      <c r="AH176" s="12"/>
      <c r="AI176" s="12"/>
      <c r="AJ176" s="42"/>
      <c r="AK176" s="12"/>
      <c r="AL176" s="12"/>
      <c r="AM176" s="12"/>
      <c r="AN176" s="43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45"/>
      <c r="BV176" s="25"/>
      <c r="BW176" s="25"/>
      <c r="BX176" s="25"/>
      <c r="BY176" s="25"/>
      <c r="BZ176" s="25"/>
      <c r="CA176" s="25"/>
      <c r="CB176" s="26"/>
      <c r="CC176" s="26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46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25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30"/>
      <c r="GP176" s="30"/>
      <c r="GQ176" s="12"/>
      <c r="GR176" s="30"/>
      <c r="GS176" s="12"/>
      <c r="GT176" s="12"/>
      <c r="GU176" s="25"/>
      <c r="GV176" s="12"/>
      <c r="GW176" s="12"/>
      <c r="GX176" s="30"/>
      <c r="GY176" s="30"/>
      <c r="GZ176" s="30"/>
      <c r="HA176" s="30"/>
      <c r="HB176" s="30"/>
      <c r="HC176" s="30"/>
      <c r="HD176" s="30"/>
      <c r="HE176" s="30"/>
      <c r="HF176" s="30"/>
      <c r="HG176" s="30"/>
      <c r="HH176" s="30"/>
      <c r="HI176" s="12"/>
      <c r="HJ176" s="12"/>
      <c r="HK176" s="12"/>
      <c r="HL176" s="12"/>
      <c r="HM176" s="12"/>
      <c r="HN176" s="12"/>
    </row>
    <row r="177" ht="13.5" customHeight="1">
      <c r="A177" s="12"/>
      <c r="B177" s="12"/>
      <c r="C177" s="12"/>
      <c r="D177" s="12"/>
      <c r="E177" s="42"/>
      <c r="F177" s="12"/>
      <c r="G177" s="12"/>
      <c r="H177" s="43"/>
      <c r="I177" s="12"/>
      <c r="J177" s="12"/>
      <c r="K177" s="43"/>
      <c r="L177" s="30"/>
      <c r="M177" s="25"/>
      <c r="N177" s="12"/>
      <c r="O177" s="12"/>
      <c r="P177" s="12"/>
      <c r="Q177" s="44"/>
      <c r="R177" s="12"/>
      <c r="S177" s="12"/>
      <c r="T177" s="12"/>
      <c r="U177" s="43"/>
      <c r="V177" s="44"/>
      <c r="W177" s="12"/>
      <c r="X177" s="12"/>
      <c r="Y177" s="12"/>
      <c r="Z177" s="43"/>
      <c r="AA177" s="43"/>
      <c r="AB177" s="12"/>
      <c r="AC177" s="12"/>
      <c r="AD177" s="12"/>
      <c r="AE177" s="12"/>
      <c r="AF177" s="12"/>
      <c r="AG177" s="12"/>
      <c r="AH177" s="12"/>
      <c r="AI177" s="12"/>
      <c r="AJ177" s="42"/>
      <c r="AK177" s="12"/>
      <c r="AL177" s="12"/>
      <c r="AM177" s="12"/>
      <c r="AN177" s="43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45"/>
      <c r="BV177" s="25"/>
      <c r="BW177" s="25"/>
      <c r="BX177" s="25"/>
      <c r="BY177" s="25"/>
      <c r="BZ177" s="25"/>
      <c r="CA177" s="25"/>
      <c r="CB177" s="26"/>
      <c r="CC177" s="26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46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25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30"/>
      <c r="GP177" s="30"/>
      <c r="GQ177" s="12"/>
      <c r="GR177" s="30"/>
      <c r="GS177" s="12"/>
      <c r="GT177" s="12"/>
      <c r="GU177" s="25"/>
      <c r="GV177" s="12"/>
      <c r="GW177" s="12"/>
      <c r="GX177" s="30"/>
      <c r="GY177" s="30"/>
      <c r="GZ177" s="30"/>
      <c r="HA177" s="30"/>
      <c r="HB177" s="30"/>
      <c r="HC177" s="30"/>
      <c r="HD177" s="30"/>
      <c r="HE177" s="30"/>
      <c r="HF177" s="30"/>
      <c r="HG177" s="30"/>
      <c r="HH177" s="30"/>
      <c r="HI177" s="12"/>
      <c r="HJ177" s="12"/>
      <c r="HK177" s="12"/>
      <c r="HL177" s="12"/>
      <c r="HM177" s="12"/>
      <c r="HN177" s="12"/>
    </row>
    <row r="178" ht="13.5" customHeight="1">
      <c r="A178" s="12"/>
      <c r="B178" s="12"/>
      <c r="C178" s="12"/>
      <c r="D178" s="12"/>
      <c r="E178" s="42"/>
      <c r="F178" s="12"/>
      <c r="G178" s="12"/>
      <c r="H178" s="43"/>
      <c r="I178" s="12"/>
      <c r="J178" s="12"/>
      <c r="K178" s="43"/>
      <c r="L178" s="30"/>
      <c r="M178" s="25"/>
      <c r="N178" s="12"/>
      <c r="O178" s="12"/>
      <c r="P178" s="12"/>
      <c r="Q178" s="44"/>
      <c r="R178" s="12"/>
      <c r="S178" s="12"/>
      <c r="T178" s="12"/>
      <c r="U178" s="43"/>
      <c r="V178" s="44"/>
      <c r="W178" s="12"/>
      <c r="X178" s="12"/>
      <c r="Y178" s="12"/>
      <c r="Z178" s="43"/>
      <c r="AA178" s="43"/>
      <c r="AB178" s="12"/>
      <c r="AC178" s="12"/>
      <c r="AD178" s="12"/>
      <c r="AE178" s="12"/>
      <c r="AF178" s="12"/>
      <c r="AG178" s="12"/>
      <c r="AH178" s="12"/>
      <c r="AI178" s="12"/>
      <c r="AJ178" s="42"/>
      <c r="AK178" s="12"/>
      <c r="AL178" s="12"/>
      <c r="AM178" s="12"/>
      <c r="AN178" s="43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45"/>
      <c r="BV178" s="25"/>
      <c r="BW178" s="25"/>
      <c r="BX178" s="25"/>
      <c r="BY178" s="25"/>
      <c r="BZ178" s="25"/>
      <c r="CA178" s="25"/>
      <c r="CB178" s="26"/>
      <c r="CC178" s="26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46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25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30"/>
      <c r="GP178" s="30"/>
      <c r="GQ178" s="12"/>
      <c r="GR178" s="30"/>
      <c r="GS178" s="12"/>
      <c r="GT178" s="12"/>
      <c r="GU178" s="25"/>
      <c r="GV178" s="12"/>
      <c r="GW178" s="12"/>
      <c r="GX178" s="30"/>
      <c r="GY178" s="30"/>
      <c r="GZ178" s="30"/>
      <c r="HA178" s="30"/>
      <c r="HB178" s="30"/>
      <c r="HC178" s="30"/>
      <c r="HD178" s="30"/>
      <c r="HE178" s="30"/>
      <c r="HF178" s="30"/>
      <c r="HG178" s="30"/>
      <c r="HH178" s="30"/>
      <c r="HI178" s="12"/>
      <c r="HJ178" s="12"/>
      <c r="HK178" s="12"/>
      <c r="HL178" s="12"/>
      <c r="HM178" s="12"/>
      <c r="HN178" s="12"/>
    </row>
    <row r="179" ht="13.5" customHeight="1">
      <c r="A179" s="12"/>
      <c r="B179" s="12"/>
      <c r="C179" s="12"/>
      <c r="D179" s="12"/>
      <c r="E179" s="42"/>
      <c r="F179" s="12"/>
      <c r="G179" s="12"/>
      <c r="H179" s="43"/>
      <c r="I179" s="12"/>
      <c r="J179" s="12"/>
      <c r="K179" s="43"/>
      <c r="L179" s="30"/>
      <c r="M179" s="25"/>
      <c r="N179" s="12"/>
      <c r="O179" s="12"/>
      <c r="P179" s="12"/>
      <c r="Q179" s="44"/>
      <c r="R179" s="12"/>
      <c r="S179" s="12"/>
      <c r="T179" s="12"/>
      <c r="U179" s="43"/>
      <c r="V179" s="44"/>
      <c r="W179" s="12"/>
      <c r="X179" s="12"/>
      <c r="Y179" s="12"/>
      <c r="Z179" s="43"/>
      <c r="AA179" s="43"/>
      <c r="AB179" s="12"/>
      <c r="AC179" s="12"/>
      <c r="AD179" s="12"/>
      <c r="AE179" s="12"/>
      <c r="AF179" s="12"/>
      <c r="AG179" s="12"/>
      <c r="AH179" s="12"/>
      <c r="AI179" s="12"/>
      <c r="AJ179" s="42"/>
      <c r="AK179" s="12"/>
      <c r="AL179" s="12"/>
      <c r="AM179" s="12"/>
      <c r="AN179" s="43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45"/>
      <c r="BV179" s="25"/>
      <c r="BW179" s="25"/>
      <c r="BX179" s="25"/>
      <c r="BY179" s="25"/>
      <c r="BZ179" s="25"/>
      <c r="CA179" s="25"/>
      <c r="CB179" s="26"/>
      <c r="CC179" s="26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46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25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30"/>
      <c r="GP179" s="30"/>
      <c r="GQ179" s="12"/>
      <c r="GR179" s="30"/>
      <c r="GS179" s="12"/>
      <c r="GT179" s="12"/>
      <c r="GU179" s="25"/>
      <c r="GV179" s="12"/>
      <c r="GW179" s="12"/>
      <c r="GX179" s="30"/>
      <c r="GY179" s="30"/>
      <c r="GZ179" s="30"/>
      <c r="HA179" s="30"/>
      <c r="HB179" s="30"/>
      <c r="HC179" s="30"/>
      <c r="HD179" s="30"/>
      <c r="HE179" s="30"/>
      <c r="HF179" s="30"/>
      <c r="HG179" s="30"/>
      <c r="HH179" s="30"/>
      <c r="HI179" s="12"/>
      <c r="HJ179" s="12"/>
      <c r="HK179" s="12"/>
      <c r="HL179" s="12"/>
      <c r="HM179" s="12"/>
      <c r="HN179" s="12"/>
    </row>
    <row r="180" ht="13.5" customHeight="1">
      <c r="A180" s="12"/>
      <c r="B180" s="12"/>
      <c r="C180" s="12"/>
      <c r="D180" s="12"/>
      <c r="E180" s="42"/>
      <c r="F180" s="12"/>
      <c r="G180" s="12"/>
      <c r="H180" s="43"/>
      <c r="I180" s="12"/>
      <c r="J180" s="12"/>
      <c r="K180" s="43"/>
      <c r="L180" s="30"/>
      <c r="M180" s="25"/>
      <c r="N180" s="12"/>
      <c r="O180" s="12"/>
      <c r="P180" s="12"/>
      <c r="Q180" s="44"/>
      <c r="R180" s="12"/>
      <c r="S180" s="12"/>
      <c r="T180" s="12"/>
      <c r="U180" s="43"/>
      <c r="V180" s="44"/>
      <c r="W180" s="12"/>
      <c r="X180" s="12"/>
      <c r="Y180" s="12"/>
      <c r="Z180" s="43"/>
      <c r="AA180" s="43"/>
      <c r="AB180" s="12"/>
      <c r="AC180" s="12"/>
      <c r="AD180" s="12"/>
      <c r="AE180" s="12"/>
      <c r="AF180" s="12"/>
      <c r="AG180" s="12"/>
      <c r="AH180" s="12"/>
      <c r="AI180" s="12"/>
      <c r="AJ180" s="42"/>
      <c r="AK180" s="12"/>
      <c r="AL180" s="12"/>
      <c r="AM180" s="12"/>
      <c r="AN180" s="43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45"/>
      <c r="BV180" s="25"/>
      <c r="BW180" s="25"/>
      <c r="BX180" s="25"/>
      <c r="BY180" s="25"/>
      <c r="BZ180" s="25"/>
      <c r="CA180" s="25"/>
      <c r="CB180" s="26"/>
      <c r="CC180" s="26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46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25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30"/>
      <c r="GP180" s="30"/>
      <c r="GQ180" s="12"/>
      <c r="GR180" s="30"/>
      <c r="GS180" s="12"/>
      <c r="GT180" s="12"/>
      <c r="GU180" s="25"/>
      <c r="GV180" s="12"/>
      <c r="GW180" s="12"/>
      <c r="GX180" s="30"/>
      <c r="GY180" s="30"/>
      <c r="GZ180" s="30"/>
      <c r="HA180" s="30"/>
      <c r="HB180" s="30"/>
      <c r="HC180" s="30"/>
      <c r="HD180" s="30"/>
      <c r="HE180" s="30"/>
      <c r="HF180" s="30"/>
      <c r="HG180" s="30"/>
      <c r="HH180" s="30"/>
      <c r="HI180" s="12"/>
      <c r="HJ180" s="12"/>
      <c r="HK180" s="12"/>
      <c r="HL180" s="12"/>
      <c r="HM180" s="12"/>
      <c r="HN180" s="12"/>
    </row>
    <row r="181" ht="13.5" customHeight="1">
      <c r="A181" s="12"/>
      <c r="B181" s="12"/>
      <c r="C181" s="12"/>
      <c r="D181" s="12"/>
      <c r="E181" s="42"/>
      <c r="F181" s="12"/>
      <c r="G181" s="12"/>
      <c r="H181" s="43"/>
      <c r="I181" s="12"/>
      <c r="J181" s="12"/>
      <c r="K181" s="43"/>
      <c r="L181" s="30"/>
      <c r="M181" s="25"/>
      <c r="N181" s="12"/>
      <c r="O181" s="12"/>
      <c r="P181" s="12"/>
      <c r="Q181" s="44"/>
      <c r="R181" s="12"/>
      <c r="S181" s="12"/>
      <c r="T181" s="12"/>
      <c r="U181" s="43"/>
      <c r="V181" s="44"/>
      <c r="W181" s="12"/>
      <c r="X181" s="12"/>
      <c r="Y181" s="12"/>
      <c r="Z181" s="43"/>
      <c r="AA181" s="43"/>
      <c r="AB181" s="12"/>
      <c r="AC181" s="12"/>
      <c r="AD181" s="12"/>
      <c r="AE181" s="12"/>
      <c r="AF181" s="12"/>
      <c r="AG181" s="12"/>
      <c r="AH181" s="12"/>
      <c r="AI181" s="12"/>
      <c r="AJ181" s="42"/>
      <c r="AK181" s="12"/>
      <c r="AL181" s="12"/>
      <c r="AM181" s="12"/>
      <c r="AN181" s="43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45"/>
      <c r="BV181" s="25"/>
      <c r="BW181" s="25"/>
      <c r="BX181" s="25"/>
      <c r="BY181" s="25"/>
      <c r="BZ181" s="25"/>
      <c r="CA181" s="25"/>
      <c r="CB181" s="26"/>
      <c r="CC181" s="26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46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25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30"/>
      <c r="GP181" s="30"/>
      <c r="GQ181" s="12"/>
      <c r="GR181" s="30"/>
      <c r="GS181" s="12"/>
      <c r="GT181" s="12"/>
      <c r="GU181" s="25"/>
      <c r="GV181" s="12"/>
      <c r="GW181" s="12"/>
      <c r="GX181" s="30"/>
      <c r="GY181" s="30"/>
      <c r="GZ181" s="30"/>
      <c r="HA181" s="30"/>
      <c r="HB181" s="30"/>
      <c r="HC181" s="30"/>
      <c r="HD181" s="30"/>
      <c r="HE181" s="30"/>
      <c r="HF181" s="30"/>
      <c r="HG181" s="30"/>
      <c r="HH181" s="30"/>
      <c r="HI181" s="12"/>
      <c r="HJ181" s="12"/>
      <c r="HK181" s="12"/>
      <c r="HL181" s="12"/>
      <c r="HM181" s="12"/>
      <c r="HN181" s="12"/>
    </row>
    <row r="182" ht="13.5" customHeight="1">
      <c r="A182" s="12"/>
      <c r="B182" s="12"/>
      <c r="C182" s="12"/>
      <c r="D182" s="12"/>
      <c r="E182" s="42"/>
      <c r="F182" s="12"/>
      <c r="G182" s="12"/>
      <c r="H182" s="43"/>
      <c r="I182" s="12"/>
      <c r="J182" s="12"/>
      <c r="K182" s="43"/>
      <c r="L182" s="30"/>
      <c r="M182" s="25"/>
      <c r="N182" s="12"/>
      <c r="O182" s="12"/>
      <c r="P182" s="12"/>
      <c r="Q182" s="44"/>
      <c r="R182" s="12"/>
      <c r="S182" s="12"/>
      <c r="T182" s="12"/>
      <c r="U182" s="43"/>
      <c r="V182" s="44"/>
      <c r="W182" s="12"/>
      <c r="X182" s="12"/>
      <c r="Y182" s="12"/>
      <c r="Z182" s="43"/>
      <c r="AA182" s="43"/>
      <c r="AB182" s="12"/>
      <c r="AC182" s="12"/>
      <c r="AD182" s="12"/>
      <c r="AE182" s="12"/>
      <c r="AF182" s="12"/>
      <c r="AG182" s="12"/>
      <c r="AH182" s="12"/>
      <c r="AI182" s="12"/>
      <c r="AJ182" s="42"/>
      <c r="AK182" s="12"/>
      <c r="AL182" s="12"/>
      <c r="AM182" s="12"/>
      <c r="AN182" s="43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45"/>
      <c r="BV182" s="25"/>
      <c r="BW182" s="25"/>
      <c r="BX182" s="25"/>
      <c r="BY182" s="25"/>
      <c r="BZ182" s="25"/>
      <c r="CA182" s="25"/>
      <c r="CB182" s="26"/>
      <c r="CC182" s="26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46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25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30"/>
      <c r="GP182" s="30"/>
      <c r="GQ182" s="12"/>
      <c r="GR182" s="30"/>
      <c r="GS182" s="12"/>
      <c r="GT182" s="12"/>
      <c r="GU182" s="25"/>
      <c r="GV182" s="12"/>
      <c r="GW182" s="12"/>
      <c r="GX182" s="30"/>
      <c r="GY182" s="30"/>
      <c r="GZ182" s="30"/>
      <c r="HA182" s="30"/>
      <c r="HB182" s="30"/>
      <c r="HC182" s="30"/>
      <c r="HD182" s="30"/>
      <c r="HE182" s="30"/>
      <c r="HF182" s="30"/>
      <c r="HG182" s="30"/>
      <c r="HH182" s="30"/>
      <c r="HI182" s="12"/>
      <c r="HJ182" s="12"/>
      <c r="HK182" s="12"/>
      <c r="HL182" s="12"/>
      <c r="HM182" s="12"/>
      <c r="HN182" s="12"/>
    </row>
    <row r="183" ht="13.5" customHeight="1">
      <c r="A183" s="12"/>
      <c r="B183" s="12"/>
      <c r="C183" s="12"/>
      <c r="D183" s="12"/>
      <c r="E183" s="42"/>
      <c r="F183" s="12"/>
      <c r="G183" s="12"/>
      <c r="H183" s="43"/>
      <c r="I183" s="12"/>
      <c r="J183" s="12"/>
      <c r="K183" s="43"/>
      <c r="L183" s="30"/>
      <c r="M183" s="25"/>
      <c r="N183" s="12"/>
      <c r="O183" s="12"/>
      <c r="P183" s="12"/>
      <c r="Q183" s="44"/>
      <c r="R183" s="12"/>
      <c r="S183" s="12"/>
      <c r="T183" s="12"/>
      <c r="U183" s="43"/>
      <c r="V183" s="44"/>
      <c r="W183" s="12"/>
      <c r="X183" s="12"/>
      <c r="Y183" s="12"/>
      <c r="Z183" s="43"/>
      <c r="AA183" s="43"/>
      <c r="AB183" s="12"/>
      <c r="AC183" s="12"/>
      <c r="AD183" s="12"/>
      <c r="AE183" s="12"/>
      <c r="AF183" s="12"/>
      <c r="AG183" s="12"/>
      <c r="AH183" s="12"/>
      <c r="AI183" s="12"/>
      <c r="AJ183" s="42"/>
      <c r="AK183" s="12"/>
      <c r="AL183" s="12"/>
      <c r="AM183" s="12"/>
      <c r="AN183" s="43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45"/>
      <c r="BV183" s="25"/>
      <c r="BW183" s="25"/>
      <c r="BX183" s="25"/>
      <c r="BY183" s="25"/>
      <c r="BZ183" s="25"/>
      <c r="CA183" s="25"/>
      <c r="CB183" s="26"/>
      <c r="CC183" s="26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46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25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30"/>
      <c r="GP183" s="30"/>
      <c r="GQ183" s="12"/>
      <c r="GR183" s="30"/>
      <c r="GS183" s="12"/>
      <c r="GT183" s="12"/>
      <c r="GU183" s="25"/>
      <c r="GV183" s="12"/>
      <c r="GW183" s="12"/>
      <c r="GX183" s="30"/>
      <c r="GY183" s="30"/>
      <c r="GZ183" s="30"/>
      <c r="HA183" s="30"/>
      <c r="HB183" s="30"/>
      <c r="HC183" s="30"/>
      <c r="HD183" s="30"/>
      <c r="HE183" s="30"/>
      <c r="HF183" s="30"/>
      <c r="HG183" s="30"/>
      <c r="HH183" s="30"/>
      <c r="HI183" s="12"/>
      <c r="HJ183" s="12"/>
      <c r="HK183" s="12"/>
      <c r="HL183" s="12"/>
      <c r="HM183" s="12"/>
      <c r="HN183" s="12"/>
    </row>
    <row r="184" ht="13.5" customHeight="1">
      <c r="A184" s="12"/>
      <c r="B184" s="12"/>
      <c r="C184" s="12"/>
      <c r="D184" s="12"/>
      <c r="E184" s="42"/>
      <c r="F184" s="12"/>
      <c r="G184" s="12"/>
      <c r="H184" s="43"/>
      <c r="I184" s="12"/>
      <c r="J184" s="12"/>
      <c r="K184" s="43"/>
      <c r="L184" s="30"/>
      <c r="M184" s="25"/>
      <c r="N184" s="12"/>
      <c r="O184" s="12"/>
      <c r="P184" s="12"/>
      <c r="Q184" s="44"/>
      <c r="R184" s="12"/>
      <c r="S184" s="12"/>
      <c r="T184" s="12"/>
      <c r="U184" s="43"/>
      <c r="V184" s="44"/>
      <c r="W184" s="12"/>
      <c r="X184" s="12"/>
      <c r="Y184" s="12"/>
      <c r="Z184" s="43"/>
      <c r="AA184" s="43"/>
      <c r="AB184" s="12"/>
      <c r="AC184" s="12"/>
      <c r="AD184" s="12"/>
      <c r="AE184" s="12"/>
      <c r="AF184" s="12"/>
      <c r="AG184" s="12"/>
      <c r="AH184" s="12"/>
      <c r="AI184" s="12"/>
      <c r="AJ184" s="42"/>
      <c r="AK184" s="12"/>
      <c r="AL184" s="12"/>
      <c r="AM184" s="12"/>
      <c r="AN184" s="43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45"/>
      <c r="BV184" s="25"/>
      <c r="BW184" s="25"/>
      <c r="BX184" s="25"/>
      <c r="BY184" s="25"/>
      <c r="BZ184" s="25"/>
      <c r="CA184" s="25"/>
      <c r="CB184" s="26"/>
      <c r="CC184" s="26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46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25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30"/>
      <c r="GP184" s="30"/>
      <c r="GQ184" s="12"/>
      <c r="GR184" s="30"/>
      <c r="GS184" s="12"/>
      <c r="GT184" s="12"/>
      <c r="GU184" s="25"/>
      <c r="GV184" s="12"/>
      <c r="GW184" s="12"/>
      <c r="GX184" s="30"/>
      <c r="GY184" s="30"/>
      <c r="GZ184" s="30"/>
      <c r="HA184" s="30"/>
      <c r="HB184" s="30"/>
      <c r="HC184" s="30"/>
      <c r="HD184" s="30"/>
      <c r="HE184" s="30"/>
      <c r="HF184" s="30"/>
      <c r="HG184" s="30"/>
      <c r="HH184" s="30"/>
      <c r="HI184" s="12"/>
      <c r="HJ184" s="12"/>
      <c r="HK184" s="12"/>
      <c r="HL184" s="12"/>
      <c r="HM184" s="12"/>
      <c r="HN184" s="12"/>
    </row>
    <row r="185" ht="13.5" customHeight="1">
      <c r="A185" s="12"/>
      <c r="B185" s="12"/>
      <c r="C185" s="12"/>
      <c r="D185" s="12"/>
      <c r="E185" s="42"/>
      <c r="F185" s="12"/>
      <c r="G185" s="12"/>
      <c r="H185" s="43"/>
      <c r="I185" s="12"/>
      <c r="J185" s="12"/>
      <c r="K185" s="43"/>
      <c r="L185" s="30"/>
      <c r="M185" s="25"/>
      <c r="N185" s="12"/>
      <c r="O185" s="12"/>
      <c r="P185" s="12"/>
      <c r="Q185" s="44"/>
      <c r="R185" s="12"/>
      <c r="S185" s="12"/>
      <c r="T185" s="12"/>
      <c r="U185" s="43"/>
      <c r="V185" s="44"/>
      <c r="W185" s="12"/>
      <c r="X185" s="12"/>
      <c r="Y185" s="12"/>
      <c r="Z185" s="43"/>
      <c r="AA185" s="43"/>
      <c r="AB185" s="12"/>
      <c r="AC185" s="12"/>
      <c r="AD185" s="12"/>
      <c r="AE185" s="12"/>
      <c r="AF185" s="12"/>
      <c r="AG185" s="12"/>
      <c r="AH185" s="12"/>
      <c r="AI185" s="12"/>
      <c r="AJ185" s="42"/>
      <c r="AK185" s="12"/>
      <c r="AL185" s="12"/>
      <c r="AM185" s="12"/>
      <c r="AN185" s="43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45"/>
      <c r="BV185" s="25"/>
      <c r="BW185" s="25"/>
      <c r="BX185" s="25"/>
      <c r="BY185" s="25"/>
      <c r="BZ185" s="25"/>
      <c r="CA185" s="25"/>
      <c r="CB185" s="26"/>
      <c r="CC185" s="26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46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25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30"/>
      <c r="GP185" s="30"/>
      <c r="GQ185" s="12"/>
      <c r="GR185" s="30"/>
      <c r="GS185" s="12"/>
      <c r="GT185" s="12"/>
      <c r="GU185" s="25"/>
      <c r="GV185" s="12"/>
      <c r="GW185" s="12"/>
      <c r="GX185" s="30"/>
      <c r="GY185" s="30"/>
      <c r="GZ185" s="30"/>
      <c r="HA185" s="30"/>
      <c r="HB185" s="30"/>
      <c r="HC185" s="30"/>
      <c r="HD185" s="30"/>
      <c r="HE185" s="30"/>
      <c r="HF185" s="30"/>
      <c r="HG185" s="30"/>
      <c r="HH185" s="30"/>
      <c r="HI185" s="12"/>
      <c r="HJ185" s="12"/>
      <c r="HK185" s="12"/>
      <c r="HL185" s="12"/>
      <c r="HM185" s="12"/>
      <c r="HN185" s="12"/>
    </row>
    <row r="186" ht="13.5" customHeight="1">
      <c r="A186" s="12"/>
      <c r="B186" s="12"/>
      <c r="C186" s="12"/>
      <c r="D186" s="12"/>
      <c r="E186" s="42"/>
      <c r="F186" s="12"/>
      <c r="G186" s="12"/>
      <c r="H186" s="43"/>
      <c r="I186" s="12"/>
      <c r="J186" s="12"/>
      <c r="K186" s="43"/>
      <c r="L186" s="30"/>
      <c r="M186" s="25"/>
      <c r="N186" s="12"/>
      <c r="O186" s="12"/>
      <c r="P186" s="12"/>
      <c r="Q186" s="44"/>
      <c r="R186" s="12"/>
      <c r="S186" s="12"/>
      <c r="T186" s="12"/>
      <c r="U186" s="43"/>
      <c r="V186" s="44"/>
      <c r="W186" s="12"/>
      <c r="X186" s="12"/>
      <c r="Y186" s="12"/>
      <c r="Z186" s="43"/>
      <c r="AA186" s="43"/>
      <c r="AB186" s="12"/>
      <c r="AC186" s="12"/>
      <c r="AD186" s="12"/>
      <c r="AE186" s="12"/>
      <c r="AF186" s="12"/>
      <c r="AG186" s="12"/>
      <c r="AH186" s="12"/>
      <c r="AI186" s="12"/>
      <c r="AJ186" s="42"/>
      <c r="AK186" s="12"/>
      <c r="AL186" s="12"/>
      <c r="AM186" s="12"/>
      <c r="AN186" s="43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45"/>
      <c r="BV186" s="25"/>
      <c r="BW186" s="25"/>
      <c r="BX186" s="25"/>
      <c r="BY186" s="25"/>
      <c r="BZ186" s="25"/>
      <c r="CA186" s="25"/>
      <c r="CB186" s="26"/>
      <c r="CC186" s="26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46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25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30"/>
      <c r="GP186" s="30"/>
      <c r="GQ186" s="12"/>
      <c r="GR186" s="30"/>
      <c r="GS186" s="12"/>
      <c r="GT186" s="12"/>
      <c r="GU186" s="25"/>
      <c r="GV186" s="12"/>
      <c r="GW186" s="12"/>
      <c r="GX186" s="30"/>
      <c r="GY186" s="30"/>
      <c r="GZ186" s="30"/>
      <c r="HA186" s="30"/>
      <c r="HB186" s="30"/>
      <c r="HC186" s="30"/>
      <c r="HD186" s="30"/>
      <c r="HE186" s="30"/>
      <c r="HF186" s="30"/>
      <c r="HG186" s="30"/>
      <c r="HH186" s="30"/>
      <c r="HI186" s="12"/>
      <c r="HJ186" s="12"/>
      <c r="HK186" s="12"/>
      <c r="HL186" s="12"/>
      <c r="HM186" s="12"/>
      <c r="HN186" s="12"/>
    </row>
    <row r="187" ht="13.5" customHeight="1">
      <c r="A187" s="12"/>
      <c r="B187" s="12"/>
      <c r="C187" s="12"/>
      <c r="D187" s="12"/>
      <c r="E187" s="42"/>
      <c r="F187" s="12"/>
      <c r="G187" s="12"/>
      <c r="H187" s="43"/>
      <c r="I187" s="12"/>
      <c r="J187" s="12"/>
      <c r="K187" s="43"/>
      <c r="L187" s="30"/>
      <c r="M187" s="25"/>
      <c r="N187" s="12"/>
      <c r="O187" s="12"/>
      <c r="P187" s="12"/>
      <c r="Q187" s="44"/>
      <c r="R187" s="12"/>
      <c r="S187" s="12"/>
      <c r="T187" s="12"/>
      <c r="U187" s="43"/>
      <c r="V187" s="44"/>
      <c r="W187" s="12"/>
      <c r="X187" s="12"/>
      <c r="Y187" s="12"/>
      <c r="Z187" s="43"/>
      <c r="AA187" s="43"/>
      <c r="AB187" s="12"/>
      <c r="AC187" s="12"/>
      <c r="AD187" s="12"/>
      <c r="AE187" s="12"/>
      <c r="AF187" s="12"/>
      <c r="AG187" s="12"/>
      <c r="AH187" s="12"/>
      <c r="AI187" s="12"/>
      <c r="AJ187" s="42"/>
      <c r="AK187" s="12"/>
      <c r="AL187" s="12"/>
      <c r="AM187" s="12"/>
      <c r="AN187" s="43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45"/>
      <c r="BV187" s="25"/>
      <c r="BW187" s="25"/>
      <c r="BX187" s="25"/>
      <c r="BY187" s="25"/>
      <c r="BZ187" s="25"/>
      <c r="CA187" s="25"/>
      <c r="CB187" s="26"/>
      <c r="CC187" s="26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46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25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30"/>
      <c r="GP187" s="30"/>
      <c r="GQ187" s="12"/>
      <c r="GR187" s="30"/>
      <c r="GS187" s="12"/>
      <c r="GT187" s="12"/>
      <c r="GU187" s="25"/>
      <c r="GV187" s="12"/>
      <c r="GW187" s="12"/>
      <c r="GX187" s="30"/>
      <c r="GY187" s="30"/>
      <c r="GZ187" s="30"/>
      <c r="HA187" s="30"/>
      <c r="HB187" s="30"/>
      <c r="HC187" s="30"/>
      <c r="HD187" s="30"/>
      <c r="HE187" s="30"/>
      <c r="HF187" s="30"/>
      <c r="HG187" s="30"/>
      <c r="HH187" s="30"/>
      <c r="HI187" s="12"/>
      <c r="HJ187" s="12"/>
      <c r="HK187" s="12"/>
      <c r="HL187" s="12"/>
      <c r="HM187" s="12"/>
      <c r="HN187" s="12"/>
    </row>
    <row r="188" ht="13.5" customHeight="1">
      <c r="A188" s="12"/>
      <c r="B188" s="12"/>
      <c r="C188" s="12"/>
      <c r="D188" s="12"/>
      <c r="E188" s="42"/>
      <c r="F188" s="12"/>
      <c r="G188" s="12"/>
      <c r="H188" s="43"/>
      <c r="I188" s="12"/>
      <c r="J188" s="12"/>
      <c r="K188" s="43"/>
      <c r="L188" s="30"/>
      <c r="M188" s="25"/>
      <c r="N188" s="12"/>
      <c r="O188" s="12"/>
      <c r="P188" s="12"/>
      <c r="Q188" s="44"/>
      <c r="R188" s="12"/>
      <c r="S188" s="12"/>
      <c r="T188" s="12"/>
      <c r="U188" s="43"/>
      <c r="V188" s="44"/>
      <c r="W188" s="12"/>
      <c r="X188" s="12"/>
      <c r="Y188" s="12"/>
      <c r="Z188" s="43"/>
      <c r="AA188" s="43"/>
      <c r="AB188" s="12"/>
      <c r="AC188" s="12"/>
      <c r="AD188" s="12"/>
      <c r="AE188" s="12"/>
      <c r="AF188" s="12"/>
      <c r="AG188" s="12"/>
      <c r="AH188" s="12"/>
      <c r="AI188" s="12"/>
      <c r="AJ188" s="42"/>
      <c r="AK188" s="12"/>
      <c r="AL188" s="12"/>
      <c r="AM188" s="12"/>
      <c r="AN188" s="43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45"/>
      <c r="BV188" s="25"/>
      <c r="BW188" s="25"/>
      <c r="BX188" s="25"/>
      <c r="BY188" s="25"/>
      <c r="BZ188" s="25"/>
      <c r="CA188" s="25"/>
      <c r="CB188" s="26"/>
      <c r="CC188" s="26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46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25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30"/>
      <c r="GP188" s="30"/>
      <c r="GQ188" s="12"/>
      <c r="GR188" s="30"/>
      <c r="GS188" s="12"/>
      <c r="GT188" s="12"/>
      <c r="GU188" s="25"/>
      <c r="GV188" s="12"/>
      <c r="GW188" s="12"/>
      <c r="GX188" s="30"/>
      <c r="GY188" s="30"/>
      <c r="GZ188" s="30"/>
      <c r="HA188" s="30"/>
      <c r="HB188" s="30"/>
      <c r="HC188" s="30"/>
      <c r="HD188" s="30"/>
      <c r="HE188" s="30"/>
      <c r="HF188" s="30"/>
      <c r="HG188" s="30"/>
      <c r="HH188" s="30"/>
      <c r="HI188" s="12"/>
      <c r="HJ188" s="12"/>
      <c r="HK188" s="12"/>
      <c r="HL188" s="12"/>
      <c r="HM188" s="12"/>
      <c r="HN188" s="12"/>
    </row>
    <row r="189" ht="13.5" customHeight="1">
      <c r="A189" s="12"/>
      <c r="B189" s="12"/>
      <c r="C189" s="12"/>
      <c r="D189" s="12"/>
      <c r="E189" s="42"/>
      <c r="F189" s="12"/>
      <c r="G189" s="12"/>
      <c r="H189" s="43"/>
      <c r="I189" s="12"/>
      <c r="J189" s="12"/>
      <c r="K189" s="43"/>
      <c r="L189" s="30"/>
      <c r="M189" s="25"/>
      <c r="N189" s="12"/>
      <c r="O189" s="12"/>
      <c r="P189" s="12"/>
      <c r="Q189" s="44"/>
      <c r="R189" s="12"/>
      <c r="S189" s="12"/>
      <c r="T189" s="12"/>
      <c r="U189" s="43"/>
      <c r="V189" s="44"/>
      <c r="W189" s="12"/>
      <c r="X189" s="12"/>
      <c r="Y189" s="12"/>
      <c r="Z189" s="43"/>
      <c r="AA189" s="43"/>
      <c r="AB189" s="12"/>
      <c r="AC189" s="12"/>
      <c r="AD189" s="12"/>
      <c r="AE189" s="12"/>
      <c r="AF189" s="12"/>
      <c r="AG189" s="12"/>
      <c r="AH189" s="12"/>
      <c r="AI189" s="12"/>
      <c r="AJ189" s="42"/>
      <c r="AK189" s="12"/>
      <c r="AL189" s="12"/>
      <c r="AM189" s="12"/>
      <c r="AN189" s="43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45"/>
      <c r="BV189" s="25"/>
      <c r="BW189" s="25"/>
      <c r="BX189" s="25"/>
      <c r="BY189" s="25"/>
      <c r="BZ189" s="25"/>
      <c r="CA189" s="25"/>
      <c r="CB189" s="26"/>
      <c r="CC189" s="26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46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25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30"/>
      <c r="GP189" s="30"/>
      <c r="GQ189" s="12"/>
      <c r="GR189" s="30"/>
      <c r="GS189" s="12"/>
      <c r="GT189" s="12"/>
      <c r="GU189" s="25"/>
      <c r="GV189" s="12"/>
      <c r="GW189" s="12"/>
      <c r="GX189" s="30"/>
      <c r="GY189" s="30"/>
      <c r="GZ189" s="30"/>
      <c r="HA189" s="30"/>
      <c r="HB189" s="30"/>
      <c r="HC189" s="30"/>
      <c r="HD189" s="30"/>
      <c r="HE189" s="30"/>
      <c r="HF189" s="30"/>
      <c r="HG189" s="30"/>
      <c r="HH189" s="30"/>
      <c r="HI189" s="12"/>
      <c r="HJ189" s="12"/>
      <c r="HK189" s="12"/>
      <c r="HL189" s="12"/>
      <c r="HM189" s="12"/>
      <c r="HN189" s="12"/>
    </row>
    <row r="190" ht="13.5" customHeight="1">
      <c r="A190" s="12"/>
      <c r="B190" s="12"/>
      <c r="C190" s="12"/>
      <c r="D190" s="12"/>
      <c r="E190" s="42"/>
      <c r="F190" s="12"/>
      <c r="G190" s="12"/>
      <c r="H190" s="43"/>
      <c r="I190" s="12"/>
      <c r="J190" s="12"/>
      <c r="K190" s="43"/>
      <c r="L190" s="30"/>
      <c r="M190" s="25"/>
      <c r="N190" s="12"/>
      <c r="O190" s="12"/>
      <c r="P190" s="12"/>
      <c r="Q190" s="44"/>
      <c r="R190" s="12"/>
      <c r="S190" s="12"/>
      <c r="T190" s="12"/>
      <c r="U190" s="43"/>
      <c r="V190" s="44"/>
      <c r="W190" s="12"/>
      <c r="X190" s="12"/>
      <c r="Y190" s="12"/>
      <c r="Z190" s="43"/>
      <c r="AA190" s="43"/>
      <c r="AB190" s="12"/>
      <c r="AC190" s="12"/>
      <c r="AD190" s="12"/>
      <c r="AE190" s="12"/>
      <c r="AF190" s="12"/>
      <c r="AG190" s="12"/>
      <c r="AH190" s="12"/>
      <c r="AI190" s="12"/>
      <c r="AJ190" s="42"/>
      <c r="AK190" s="12"/>
      <c r="AL190" s="12"/>
      <c r="AM190" s="12"/>
      <c r="AN190" s="43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45"/>
      <c r="BV190" s="25"/>
      <c r="BW190" s="25"/>
      <c r="BX190" s="25"/>
      <c r="BY190" s="25"/>
      <c r="BZ190" s="25"/>
      <c r="CA190" s="25"/>
      <c r="CB190" s="26"/>
      <c r="CC190" s="26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46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25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30"/>
      <c r="GP190" s="30"/>
      <c r="GQ190" s="12"/>
      <c r="GR190" s="30"/>
      <c r="GS190" s="12"/>
      <c r="GT190" s="12"/>
      <c r="GU190" s="25"/>
      <c r="GV190" s="12"/>
      <c r="GW190" s="12"/>
      <c r="GX190" s="30"/>
      <c r="GY190" s="30"/>
      <c r="GZ190" s="30"/>
      <c r="HA190" s="30"/>
      <c r="HB190" s="30"/>
      <c r="HC190" s="30"/>
      <c r="HD190" s="30"/>
      <c r="HE190" s="30"/>
      <c r="HF190" s="30"/>
      <c r="HG190" s="30"/>
      <c r="HH190" s="30"/>
      <c r="HI190" s="12"/>
      <c r="HJ190" s="12"/>
      <c r="HK190" s="12"/>
      <c r="HL190" s="12"/>
      <c r="HM190" s="12"/>
      <c r="HN190" s="12"/>
    </row>
    <row r="191" ht="13.5" customHeight="1">
      <c r="A191" s="12"/>
      <c r="B191" s="12"/>
      <c r="C191" s="12"/>
      <c r="D191" s="12"/>
      <c r="E191" s="42"/>
      <c r="F191" s="12"/>
      <c r="G191" s="12"/>
      <c r="H191" s="43"/>
      <c r="I191" s="12"/>
      <c r="J191" s="12"/>
      <c r="K191" s="43"/>
      <c r="L191" s="30"/>
      <c r="M191" s="25"/>
      <c r="N191" s="12"/>
      <c r="O191" s="12"/>
      <c r="P191" s="12"/>
      <c r="Q191" s="44"/>
      <c r="R191" s="12"/>
      <c r="S191" s="12"/>
      <c r="T191" s="12"/>
      <c r="U191" s="43"/>
      <c r="V191" s="44"/>
      <c r="W191" s="12"/>
      <c r="X191" s="12"/>
      <c r="Y191" s="12"/>
      <c r="Z191" s="43"/>
      <c r="AA191" s="43"/>
      <c r="AB191" s="12"/>
      <c r="AC191" s="12"/>
      <c r="AD191" s="12"/>
      <c r="AE191" s="12"/>
      <c r="AF191" s="12"/>
      <c r="AG191" s="12"/>
      <c r="AH191" s="12"/>
      <c r="AI191" s="12"/>
      <c r="AJ191" s="42"/>
      <c r="AK191" s="12"/>
      <c r="AL191" s="12"/>
      <c r="AM191" s="12"/>
      <c r="AN191" s="43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45"/>
      <c r="BV191" s="25"/>
      <c r="BW191" s="25"/>
      <c r="BX191" s="25"/>
      <c r="BY191" s="25"/>
      <c r="BZ191" s="25"/>
      <c r="CA191" s="25"/>
      <c r="CB191" s="26"/>
      <c r="CC191" s="26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46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25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30"/>
      <c r="GP191" s="30"/>
      <c r="GQ191" s="12"/>
      <c r="GR191" s="30"/>
      <c r="GS191" s="12"/>
      <c r="GT191" s="12"/>
      <c r="GU191" s="25"/>
      <c r="GV191" s="12"/>
      <c r="GW191" s="12"/>
      <c r="GX191" s="30"/>
      <c r="GY191" s="30"/>
      <c r="GZ191" s="30"/>
      <c r="HA191" s="30"/>
      <c r="HB191" s="30"/>
      <c r="HC191" s="30"/>
      <c r="HD191" s="30"/>
      <c r="HE191" s="30"/>
      <c r="HF191" s="30"/>
      <c r="HG191" s="30"/>
      <c r="HH191" s="30"/>
      <c r="HI191" s="12"/>
      <c r="HJ191" s="12"/>
      <c r="HK191" s="12"/>
      <c r="HL191" s="12"/>
      <c r="HM191" s="12"/>
      <c r="HN191" s="12"/>
    </row>
    <row r="192" ht="13.5" customHeight="1">
      <c r="A192" s="12"/>
      <c r="B192" s="12"/>
      <c r="C192" s="12"/>
      <c r="D192" s="12"/>
      <c r="E192" s="42"/>
      <c r="F192" s="12"/>
      <c r="G192" s="12"/>
      <c r="H192" s="43"/>
      <c r="I192" s="12"/>
      <c r="J192" s="12"/>
      <c r="K192" s="43"/>
      <c r="L192" s="30"/>
      <c r="M192" s="25"/>
      <c r="N192" s="12"/>
      <c r="O192" s="12"/>
      <c r="P192" s="12"/>
      <c r="Q192" s="44"/>
      <c r="R192" s="12"/>
      <c r="S192" s="12"/>
      <c r="T192" s="12"/>
      <c r="U192" s="43"/>
      <c r="V192" s="44"/>
      <c r="W192" s="12"/>
      <c r="X192" s="12"/>
      <c r="Y192" s="12"/>
      <c r="Z192" s="43"/>
      <c r="AA192" s="43"/>
      <c r="AB192" s="12"/>
      <c r="AC192" s="12"/>
      <c r="AD192" s="12"/>
      <c r="AE192" s="12"/>
      <c r="AF192" s="12"/>
      <c r="AG192" s="12"/>
      <c r="AH192" s="12"/>
      <c r="AI192" s="12"/>
      <c r="AJ192" s="42"/>
      <c r="AK192" s="12"/>
      <c r="AL192" s="12"/>
      <c r="AM192" s="12"/>
      <c r="AN192" s="43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45"/>
      <c r="BV192" s="25"/>
      <c r="BW192" s="25"/>
      <c r="BX192" s="25"/>
      <c r="BY192" s="25"/>
      <c r="BZ192" s="25"/>
      <c r="CA192" s="25"/>
      <c r="CB192" s="26"/>
      <c r="CC192" s="26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46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25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30"/>
      <c r="GP192" s="30"/>
      <c r="GQ192" s="12"/>
      <c r="GR192" s="30"/>
      <c r="GS192" s="12"/>
      <c r="GT192" s="12"/>
      <c r="GU192" s="25"/>
      <c r="GV192" s="12"/>
      <c r="GW192" s="12"/>
      <c r="GX192" s="30"/>
      <c r="GY192" s="30"/>
      <c r="GZ192" s="30"/>
      <c r="HA192" s="30"/>
      <c r="HB192" s="30"/>
      <c r="HC192" s="30"/>
      <c r="HD192" s="30"/>
      <c r="HE192" s="30"/>
      <c r="HF192" s="30"/>
      <c r="HG192" s="30"/>
      <c r="HH192" s="30"/>
      <c r="HI192" s="12"/>
      <c r="HJ192" s="12"/>
      <c r="HK192" s="12"/>
      <c r="HL192" s="12"/>
      <c r="HM192" s="12"/>
      <c r="HN192" s="12"/>
    </row>
    <row r="193" ht="13.5" customHeight="1">
      <c r="A193" s="12"/>
      <c r="B193" s="12"/>
      <c r="C193" s="12"/>
      <c r="D193" s="12"/>
      <c r="E193" s="42"/>
      <c r="F193" s="12"/>
      <c r="G193" s="12"/>
      <c r="H193" s="43"/>
      <c r="I193" s="12"/>
      <c r="J193" s="12"/>
      <c r="K193" s="43"/>
      <c r="L193" s="30"/>
      <c r="M193" s="25"/>
      <c r="N193" s="12"/>
      <c r="O193" s="12"/>
      <c r="P193" s="12"/>
      <c r="Q193" s="44"/>
      <c r="R193" s="12"/>
      <c r="S193" s="12"/>
      <c r="T193" s="12"/>
      <c r="U193" s="43"/>
      <c r="V193" s="44"/>
      <c r="W193" s="12"/>
      <c r="X193" s="12"/>
      <c r="Y193" s="12"/>
      <c r="Z193" s="43"/>
      <c r="AA193" s="43"/>
      <c r="AB193" s="12"/>
      <c r="AC193" s="12"/>
      <c r="AD193" s="12"/>
      <c r="AE193" s="12"/>
      <c r="AF193" s="12"/>
      <c r="AG193" s="12"/>
      <c r="AH193" s="12"/>
      <c r="AI193" s="12"/>
      <c r="AJ193" s="42"/>
      <c r="AK193" s="12"/>
      <c r="AL193" s="12"/>
      <c r="AM193" s="12"/>
      <c r="AN193" s="43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45"/>
      <c r="BV193" s="25"/>
      <c r="BW193" s="25"/>
      <c r="BX193" s="25"/>
      <c r="BY193" s="25"/>
      <c r="BZ193" s="25"/>
      <c r="CA193" s="25"/>
      <c r="CB193" s="26"/>
      <c r="CC193" s="26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46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25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30"/>
      <c r="GP193" s="30"/>
      <c r="GQ193" s="12"/>
      <c r="GR193" s="30"/>
      <c r="GS193" s="12"/>
      <c r="GT193" s="12"/>
      <c r="GU193" s="25"/>
      <c r="GV193" s="12"/>
      <c r="GW193" s="12"/>
      <c r="GX193" s="30"/>
      <c r="GY193" s="30"/>
      <c r="GZ193" s="30"/>
      <c r="HA193" s="30"/>
      <c r="HB193" s="30"/>
      <c r="HC193" s="30"/>
      <c r="HD193" s="30"/>
      <c r="HE193" s="30"/>
      <c r="HF193" s="30"/>
      <c r="HG193" s="30"/>
      <c r="HH193" s="30"/>
      <c r="HI193" s="12"/>
      <c r="HJ193" s="12"/>
      <c r="HK193" s="12"/>
      <c r="HL193" s="12"/>
      <c r="HM193" s="12"/>
      <c r="HN193" s="12"/>
    </row>
    <row r="194" ht="13.5" customHeight="1">
      <c r="A194" s="12"/>
      <c r="B194" s="12"/>
      <c r="C194" s="12"/>
      <c r="D194" s="12"/>
      <c r="E194" s="42"/>
      <c r="F194" s="12"/>
      <c r="G194" s="12"/>
      <c r="H194" s="43"/>
      <c r="I194" s="12"/>
      <c r="J194" s="12"/>
      <c r="K194" s="43"/>
      <c r="L194" s="30"/>
      <c r="M194" s="25"/>
      <c r="N194" s="12"/>
      <c r="O194" s="12"/>
      <c r="P194" s="12"/>
      <c r="Q194" s="44"/>
      <c r="R194" s="12"/>
      <c r="S194" s="12"/>
      <c r="T194" s="12"/>
      <c r="U194" s="43"/>
      <c r="V194" s="44"/>
      <c r="W194" s="12"/>
      <c r="X194" s="12"/>
      <c r="Y194" s="12"/>
      <c r="Z194" s="43"/>
      <c r="AA194" s="43"/>
      <c r="AB194" s="12"/>
      <c r="AC194" s="12"/>
      <c r="AD194" s="12"/>
      <c r="AE194" s="12"/>
      <c r="AF194" s="12"/>
      <c r="AG194" s="12"/>
      <c r="AH194" s="12"/>
      <c r="AI194" s="12"/>
      <c r="AJ194" s="42"/>
      <c r="AK194" s="12"/>
      <c r="AL194" s="12"/>
      <c r="AM194" s="12"/>
      <c r="AN194" s="43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45"/>
      <c r="BV194" s="25"/>
      <c r="BW194" s="25"/>
      <c r="BX194" s="25"/>
      <c r="BY194" s="25"/>
      <c r="BZ194" s="25"/>
      <c r="CA194" s="25"/>
      <c r="CB194" s="26"/>
      <c r="CC194" s="26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46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25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30"/>
      <c r="GP194" s="30"/>
      <c r="GQ194" s="12"/>
      <c r="GR194" s="30"/>
      <c r="GS194" s="12"/>
      <c r="GT194" s="12"/>
      <c r="GU194" s="25"/>
      <c r="GV194" s="12"/>
      <c r="GW194" s="12"/>
      <c r="GX194" s="30"/>
      <c r="GY194" s="30"/>
      <c r="GZ194" s="30"/>
      <c r="HA194" s="30"/>
      <c r="HB194" s="30"/>
      <c r="HC194" s="30"/>
      <c r="HD194" s="30"/>
      <c r="HE194" s="30"/>
      <c r="HF194" s="30"/>
      <c r="HG194" s="30"/>
      <c r="HH194" s="30"/>
      <c r="HI194" s="12"/>
      <c r="HJ194" s="12"/>
      <c r="HK194" s="12"/>
      <c r="HL194" s="12"/>
      <c r="HM194" s="12"/>
      <c r="HN194" s="12"/>
    </row>
    <row r="195" ht="13.5" customHeight="1">
      <c r="A195" s="12"/>
      <c r="B195" s="12"/>
      <c r="C195" s="12"/>
      <c r="D195" s="12"/>
      <c r="E195" s="42"/>
      <c r="F195" s="12"/>
      <c r="G195" s="12"/>
      <c r="H195" s="43"/>
      <c r="I195" s="12"/>
      <c r="J195" s="12"/>
      <c r="K195" s="43"/>
      <c r="L195" s="30"/>
      <c r="M195" s="25"/>
      <c r="N195" s="12"/>
      <c r="O195" s="12"/>
      <c r="P195" s="12"/>
      <c r="Q195" s="44"/>
      <c r="R195" s="12"/>
      <c r="S195" s="12"/>
      <c r="T195" s="12"/>
      <c r="U195" s="43"/>
      <c r="V195" s="44"/>
      <c r="W195" s="12"/>
      <c r="X195" s="12"/>
      <c r="Y195" s="12"/>
      <c r="Z195" s="43"/>
      <c r="AA195" s="43"/>
      <c r="AB195" s="12"/>
      <c r="AC195" s="12"/>
      <c r="AD195" s="12"/>
      <c r="AE195" s="12"/>
      <c r="AF195" s="12"/>
      <c r="AG195" s="12"/>
      <c r="AH195" s="12"/>
      <c r="AI195" s="12"/>
      <c r="AJ195" s="42"/>
      <c r="AK195" s="12"/>
      <c r="AL195" s="12"/>
      <c r="AM195" s="12"/>
      <c r="AN195" s="43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45"/>
      <c r="BV195" s="25"/>
      <c r="BW195" s="25"/>
      <c r="BX195" s="25"/>
      <c r="BY195" s="25"/>
      <c r="BZ195" s="25"/>
      <c r="CA195" s="25"/>
      <c r="CB195" s="26"/>
      <c r="CC195" s="26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46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25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30"/>
      <c r="GP195" s="30"/>
      <c r="GQ195" s="12"/>
      <c r="GR195" s="30"/>
      <c r="GS195" s="12"/>
      <c r="GT195" s="12"/>
      <c r="GU195" s="25"/>
      <c r="GV195" s="12"/>
      <c r="GW195" s="12"/>
      <c r="GX195" s="30"/>
      <c r="GY195" s="30"/>
      <c r="GZ195" s="30"/>
      <c r="HA195" s="30"/>
      <c r="HB195" s="30"/>
      <c r="HC195" s="30"/>
      <c r="HD195" s="30"/>
      <c r="HE195" s="30"/>
      <c r="HF195" s="30"/>
      <c r="HG195" s="30"/>
      <c r="HH195" s="30"/>
      <c r="HI195" s="12"/>
      <c r="HJ195" s="12"/>
      <c r="HK195" s="12"/>
      <c r="HL195" s="12"/>
      <c r="HM195" s="12"/>
      <c r="HN195" s="12"/>
    </row>
    <row r="196" ht="13.5" customHeight="1">
      <c r="A196" s="12"/>
      <c r="B196" s="12"/>
      <c r="C196" s="12"/>
      <c r="D196" s="12"/>
      <c r="E196" s="42"/>
      <c r="F196" s="12"/>
      <c r="G196" s="12"/>
      <c r="H196" s="43"/>
      <c r="I196" s="12"/>
      <c r="J196" s="12"/>
      <c r="K196" s="43"/>
      <c r="L196" s="30"/>
      <c r="M196" s="25"/>
      <c r="N196" s="12"/>
      <c r="O196" s="12"/>
      <c r="P196" s="12"/>
      <c r="Q196" s="44"/>
      <c r="R196" s="12"/>
      <c r="S196" s="12"/>
      <c r="T196" s="12"/>
      <c r="U196" s="43"/>
      <c r="V196" s="44"/>
      <c r="W196" s="12"/>
      <c r="X196" s="12"/>
      <c r="Y196" s="12"/>
      <c r="Z196" s="43"/>
      <c r="AA196" s="43"/>
      <c r="AB196" s="12"/>
      <c r="AC196" s="12"/>
      <c r="AD196" s="12"/>
      <c r="AE196" s="12"/>
      <c r="AF196" s="12"/>
      <c r="AG196" s="12"/>
      <c r="AH196" s="12"/>
      <c r="AI196" s="12"/>
      <c r="AJ196" s="42"/>
      <c r="AK196" s="12"/>
      <c r="AL196" s="12"/>
      <c r="AM196" s="12"/>
      <c r="AN196" s="43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45"/>
      <c r="BV196" s="25"/>
      <c r="BW196" s="25"/>
      <c r="BX196" s="25"/>
      <c r="BY196" s="25"/>
      <c r="BZ196" s="25"/>
      <c r="CA196" s="25"/>
      <c r="CB196" s="26"/>
      <c r="CC196" s="26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46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25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30"/>
      <c r="GP196" s="30"/>
      <c r="GQ196" s="12"/>
      <c r="GR196" s="30"/>
      <c r="GS196" s="12"/>
      <c r="GT196" s="12"/>
      <c r="GU196" s="25"/>
      <c r="GV196" s="12"/>
      <c r="GW196" s="12"/>
      <c r="GX196" s="30"/>
      <c r="GY196" s="30"/>
      <c r="GZ196" s="30"/>
      <c r="HA196" s="30"/>
      <c r="HB196" s="30"/>
      <c r="HC196" s="30"/>
      <c r="HD196" s="30"/>
      <c r="HE196" s="30"/>
      <c r="HF196" s="30"/>
      <c r="HG196" s="30"/>
      <c r="HH196" s="30"/>
      <c r="HI196" s="12"/>
      <c r="HJ196" s="12"/>
      <c r="HK196" s="12"/>
      <c r="HL196" s="12"/>
      <c r="HM196" s="12"/>
      <c r="HN196" s="12"/>
    </row>
    <row r="197" ht="13.5" customHeight="1">
      <c r="A197" s="12"/>
      <c r="B197" s="12"/>
      <c r="C197" s="12"/>
      <c r="D197" s="12"/>
      <c r="E197" s="42"/>
      <c r="F197" s="12"/>
      <c r="G197" s="12"/>
      <c r="H197" s="43"/>
      <c r="I197" s="12"/>
      <c r="J197" s="12"/>
      <c r="K197" s="43"/>
      <c r="L197" s="30"/>
      <c r="M197" s="25"/>
      <c r="N197" s="12"/>
      <c r="O197" s="12"/>
      <c r="P197" s="12"/>
      <c r="Q197" s="44"/>
      <c r="R197" s="12"/>
      <c r="S197" s="12"/>
      <c r="T197" s="12"/>
      <c r="U197" s="43"/>
      <c r="V197" s="44"/>
      <c r="W197" s="12"/>
      <c r="X197" s="12"/>
      <c r="Y197" s="12"/>
      <c r="Z197" s="43"/>
      <c r="AA197" s="43"/>
      <c r="AB197" s="12"/>
      <c r="AC197" s="12"/>
      <c r="AD197" s="12"/>
      <c r="AE197" s="12"/>
      <c r="AF197" s="12"/>
      <c r="AG197" s="12"/>
      <c r="AH197" s="12"/>
      <c r="AI197" s="12"/>
      <c r="AJ197" s="42"/>
      <c r="AK197" s="12"/>
      <c r="AL197" s="12"/>
      <c r="AM197" s="12"/>
      <c r="AN197" s="43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45"/>
      <c r="BV197" s="25"/>
      <c r="BW197" s="25"/>
      <c r="BX197" s="25"/>
      <c r="BY197" s="25"/>
      <c r="BZ197" s="25"/>
      <c r="CA197" s="25"/>
      <c r="CB197" s="26"/>
      <c r="CC197" s="26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46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25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30"/>
      <c r="GP197" s="30"/>
      <c r="GQ197" s="12"/>
      <c r="GR197" s="30"/>
      <c r="GS197" s="12"/>
      <c r="GT197" s="12"/>
      <c r="GU197" s="25"/>
      <c r="GV197" s="12"/>
      <c r="GW197" s="12"/>
      <c r="GX197" s="30"/>
      <c r="GY197" s="30"/>
      <c r="GZ197" s="30"/>
      <c r="HA197" s="30"/>
      <c r="HB197" s="30"/>
      <c r="HC197" s="30"/>
      <c r="HD197" s="30"/>
      <c r="HE197" s="30"/>
      <c r="HF197" s="30"/>
      <c r="HG197" s="30"/>
      <c r="HH197" s="30"/>
      <c r="HI197" s="12"/>
      <c r="HJ197" s="12"/>
      <c r="HK197" s="12"/>
      <c r="HL197" s="12"/>
      <c r="HM197" s="12"/>
      <c r="HN197" s="12"/>
    </row>
    <row r="198" ht="13.5" customHeight="1">
      <c r="A198" s="12"/>
      <c r="B198" s="12"/>
      <c r="C198" s="12"/>
      <c r="D198" s="12"/>
      <c r="E198" s="42"/>
      <c r="F198" s="12"/>
      <c r="G198" s="12"/>
      <c r="H198" s="43"/>
      <c r="I198" s="12"/>
      <c r="J198" s="12"/>
      <c r="K198" s="43"/>
      <c r="L198" s="30"/>
      <c r="M198" s="25"/>
      <c r="N198" s="12"/>
      <c r="O198" s="12"/>
      <c r="P198" s="12"/>
      <c r="Q198" s="44"/>
      <c r="R198" s="12"/>
      <c r="S198" s="12"/>
      <c r="T198" s="12"/>
      <c r="U198" s="43"/>
      <c r="V198" s="44"/>
      <c r="W198" s="12"/>
      <c r="X198" s="12"/>
      <c r="Y198" s="12"/>
      <c r="Z198" s="43"/>
      <c r="AA198" s="43"/>
      <c r="AB198" s="12"/>
      <c r="AC198" s="12"/>
      <c r="AD198" s="12"/>
      <c r="AE198" s="12"/>
      <c r="AF198" s="12"/>
      <c r="AG198" s="12"/>
      <c r="AH198" s="12"/>
      <c r="AI198" s="12"/>
      <c r="AJ198" s="42"/>
      <c r="AK198" s="12"/>
      <c r="AL198" s="12"/>
      <c r="AM198" s="12"/>
      <c r="AN198" s="43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45"/>
      <c r="BV198" s="25"/>
      <c r="BW198" s="25"/>
      <c r="BX198" s="25"/>
      <c r="BY198" s="25"/>
      <c r="BZ198" s="25"/>
      <c r="CA198" s="25"/>
      <c r="CB198" s="26"/>
      <c r="CC198" s="26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46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25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30"/>
      <c r="GP198" s="30"/>
      <c r="GQ198" s="12"/>
      <c r="GR198" s="30"/>
      <c r="GS198" s="12"/>
      <c r="GT198" s="12"/>
      <c r="GU198" s="25"/>
      <c r="GV198" s="12"/>
      <c r="GW198" s="12"/>
      <c r="GX198" s="30"/>
      <c r="GY198" s="30"/>
      <c r="GZ198" s="30"/>
      <c r="HA198" s="30"/>
      <c r="HB198" s="30"/>
      <c r="HC198" s="30"/>
      <c r="HD198" s="30"/>
      <c r="HE198" s="30"/>
      <c r="HF198" s="30"/>
      <c r="HG198" s="30"/>
      <c r="HH198" s="30"/>
      <c r="HI198" s="12"/>
      <c r="HJ198" s="12"/>
      <c r="HK198" s="12"/>
      <c r="HL198" s="12"/>
      <c r="HM198" s="12"/>
      <c r="HN198" s="12"/>
    </row>
    <row r="199" ht="13.5" customHeight="1">
      <c r="A199" s="12"/>
      <c r="B199" s="12"/>
      <c r="C199" s="12"/>
      <c r="D199" s="12"/>
      <c r="E199" s="42"/>
      <c r="F199" s="12"/>
      <c r="G199" s="12"/>
      <c r="H199" s="43"/>
      <c r="I199" s="12"/>
      <c r="J199" s="12"/>
      <c r="K199" s="43"/>
      <c r="L199" s="30"/>
      <c r="M199" s="25"/>
      <c r="N199" s="12"/>
      <c r="O199" s="12"/>
      <c r="P199" s="12"/>
      <c r="Q199" s="44"/>
      <c r="R199" s="12"/>
      <c r="S199" s="12"/>
      <c r="T199" s="12"/>
      <c r="U199" s="43"/>
      <c r="V199" s="44"/>
      <c r="W199" s="12"/>
      <c r="X199" s="12"/>
      <c r="Y199" s="12"/>
      <c r="Z199" s="43"/>
      <c r="AA199" s="43"/>
      <c r="AB199" s="12"/>
      <c r="AC199" s="12"/>
      <c r="AD199" s="12"/>
      <c r="AE199" s="12"/>
      <c r="AF199" s="12"/>
      <c r="AG199" s="12"/>
      <c r="AH199" s="12"/>
      <c r="AI199" s="12"/>
      <c r="AJ199" s="42"/>
      <c r="AK199" s="12"/>
      <c r="AL199" s="12"/>
      <c r="AM199" s="12"/>
      <c r="AN199" s="43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45"/>
      <c r="BV199" s="25"/>
      <c r="BW199" s="25"/>
      <c r="BX199" s="25"/>
      <c r="BY199" s="25"/>
      <c r="BZ199" s="25"/>
      <c r="CA199" s="25"/>
      <c r="CB199" s="26"/>
      <c r="CC199" s="26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46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25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30"/>
      <c r="GP199" s="30"/>
      <c r="GQ199" s="12"/>
      <c r="GR199" s="30"/>
      <c r="GS199" s="12"/>
      <c r="GT199" s="12"/>
      <c r="GU199" s="25"/>
      <c r="GV199" s="12"/>
      <c r="GW199" s="12"/>
      <c r="GX199" s="30"/>
      <c r="GY199" s="30"/>
      <c r="GZ199" s="30"/>
      <c r="HA199" s="30"/>
      <c r="HB199" s="30"/>
      <c r="HC199" s="30"/>
      <c r="HD199" s="30"/>
      <c r="HE199" s="30"/>
      <c r="HF199" s="30"/>
      <c r="HG199" s="30"/>
      <c r="HH199" s="30"/>
      <c r="HI199" s="12"/>
      <c r="HJ199" s="12"/>
      <c r="HK199" s="12"/>
      <c r="HL199" s="12"/>
      <c r="HM199" s="12"/>
      <c r="HN199" s="12"/>
    </row>
    <row r="200" ht="13.5" customHeight="1">
      <c r="A200" s="12"/>
      <c r="B200" s="12"/>
      <c r="C200" s="12"/>
      <c r="D200" s="12"/>
      <c r="E200" s="42"/>
      <c r="F200" s="12"/>
      <c r="G200" s="12"/>
      <c r="H200" s="43"/>
      <c r="I200" s="12"/>
      <c r="J200" s="12"/>
      <c r="K200" s="43"/>
      <c r="L200" s="30"/>
      <c r="M200" s="25"/>
      <c r="N200" s="12"/>
      <c r="O200" s="12"/>
      <c r="P200" s="12"/>
      <c r="Q200" s="44"/>
      <c r="R200" s="12"/>
      <c r="S200" s="12"/>
      <c r="T200" s="12"/>
      <c r="U200" s="43"/>
      <c r="V200" s="44"/>
      <c r="W200" s="12"/>
      <c r="X200" s="12"/>
      <c r="Y200" s="12"/>
      <c r="Z200" s="43"/>
      <c r="AA200" s="43"/>
      <c r="AB200" s="12"/>
      <c r="AC200" s="12"/>
      <c r="AD200" s="12"/>
      <c r="AE200" s="12"/>
      <c r="AF200" s="12"/>
      <c r="AG200" s="12"/>
      <c r="AH200" s="12"/>
      <c r="AI200" s="12"/>
      <c r="AJ200" s="42"/>
      <c r="AK200" s="12"/>
      <c r="AL200" s="12"/>
      <c r="AM200" s="12"/>
      <c r="AN200" s="43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45"/>
      <c r="BV200" s="25"/>
      <c r="BW200" s="25"/>
      <c r="BX200" s="25"/>
      <c r="BY200" s="25"/>
      <c r="BZ200" s="25"/>
      <c r="CA200" s="25"/>
      <c r="CB200" s="26"/>
      <c r="CC200" s="26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46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25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30"/>
      <c r="GP200" s="30"/>
      <c r="GQ200" s="12"/>
      <c r="GR200" s="30"/>
      <c r="GS200" s="12"/>
      <c r="GT200" s="12"/>
      <c r="GU200" s="25"/>
      <c r="GV200" s="12"/>
      <c r="GW200" s="12"/>
      <c r="GX200" s="30"/>
      <c r="GY200" s="30"/>
      <c r="GZ200" s="30"/>
      <c r="HA200" s="30"/>
      <c r="HB200" s="30"/>
      <c r="HC200" s="30"/>
      <c r="HD200" s="30"/>
      <c r="HE200" s="30"/>
      <c r="HF200" s="30"/>
      <c r="HG200" s="30"/>
      <c r="HH200" s="30"/>
      <c r="HI200" s="12"/>
      <c r="HJ200" s="12"/>
      <c r="HK200" s="12"/>
      <c r="HL200" s="12"/>
      <c r="HM200" s="12"/>
      <c r="HN200" s="12"/>
    </row>
    <row r="201" ht="13.5" customHeight="1">
      <c r="A201" s="12"/>
      <c r="B201" s="12"/>
      <c r="C201" s="12"/>
      <c r="D201" s="12"/>
      <c r="E201" s="42"/>
      <c r="F201" s="12"/>
      <c r="G201" s="12"/>
      <c r="H201" s="43"/>
      <c r="I201" s="12"/>
      <c r="J201" s="12"/>
      <c r="K201" s="43"/>
      <c r="L201" s="30"/>
      <c r="M201" s="25"/>
      <c r="N201" s="12"/>
      <c r="O201" s="12"/>
      <c r="P201" s="12"/>
      <c r="Q201" s="44"/>
      <c r="R201" s="12"/>
      <c r="S201" s="12"/>
      <c r="T201" s="12"/>
      <c r="U201" s="43"/>
      <c r="V201" s="44"/>
      <c r="W201" s="12"/>
      <c r="X201" s="12"/>
      <c r="Y201" s="12"/>
      <c r="Z201" s="43"/>
      <c r="AA201" s="43"/>
      <c r="AB201" s="12"/>
      <c r="AC201" s="12"/>
      <c r="AD201" s="12"/>
      <c r="AE201" s="12"/>
      <c r="AF201" s="12"/>
      <c r="AG201" s="12"/>
      <c r="AH201" s="12"/>
      <c r="AI201" s="12"/>
      <c r="AJ201" s="42"/>
      <c r="AK201" s="12"/>
      <c r="AL201" s="12"/>
      <c r="AM201" s="12"/>
      <c r="AN201" s="43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45"/>
      <c r="BV201" s="25"/>
      <c r="BW201" s="25"/>
      <c r="BX201" s="25"/>
      <c r="BY201" s="25"/>
      <c r="BZ201" s="25"/>
      <c r="CA201" s="25"/>
      <c r="CB201" s="26"/>
      <c r="CC201" s="26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46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25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30"/>
      <c r="GP201" s="30"/>
      <c r="GQ201" s="12"/>
      <c r="GR201" s="30"/>
      <c r="GS201" s="12"/>
      <c r="GT201" s="12"/>
      <c r="GU201" s="25"/>
      <c r="GV201" s="12"/>
      <c r="GW201" s="12"/>
      <c r="GX201" s="30"/>
      <c r="GY201" s="30"/>
      <c r="GZ201" s="30"/>
      <c r="HA201" s="30"/>
      <c r="HB201" s="30"/>
      <c r="HC201" s="30"/>
      <c r="HD201" s="30"/>
      <c r="HE201" s="30"/>
      <c r="HF201" s="30"/>
      <c r="HG201" s="30"/>
      <c r="HH201" s="30"/>
      <c r="HI201" s="12"/>
      <c r="HJ201" s="12"/>
      <c r="HK201" s="12"/>
      <c r="HL201" s="12"/>
      <c r="HM201" s="12"/>
      <c r="HN201" s="12"/>
    </row>
    <row r="202" ht="13.5" customHeight="1">
      <c r="A202" s="12"/>
      <c r="B202" s="12"/>
      <c r="C202" s="12"/>
      <c r="D202" s="12"/>
      <c r="E202" s="42"/>
      <c r="F202" s="12"/>
      <c r="G202" s="12"/>
      <c r="H202" s="43"/>
      <c r="I202" s="12"/>
      <c r="J202" s="12"/>
      <c r="K202" s="43"/>
      <c r="L202" s="30"/>
      <c r="M202" s="25"/>
      <c r="N202" s="12"/>
      <c r="O202" s="12"/>
      <c r="P202" s="12"/>
      <c r="Q202" s="44"/>
      <c r="R202" s="12"/>
      <c r="S202" s="12"/>
      <c r="T202" s="12"/>
      <c r="U202" s="43"/>
      <c r="V202" s="44"/>
      <c r="W202" s="12"/>
      <c r="X202" s="12"/>
      <c r="Y202" s="12"/>
      <c r="Z202" s="43"/>
      <c r="AA202" s="43"/>
      <c r="AB202" s="12"/>
      <c r="AC202" s="12"/>
      <c r="AD202" s="12"/>
      <c r="AE202" s="12"/>
      <c r="AF202" s="12"/>
      <c r="AG202" s="12"/>
      <c r="AH202" s="12"/>
      <c r="AI202" s="12"/>
      <c r="AJ202" s="42"/>
      <c r="AK202" s="12"/>
      <c r="AL202" s="12"/>
      <c r="AM202" s="12"/>
      <c r="AN202" s="43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45"/>
      <c r="BV202" s="25"/>
      <c r="BW202" s="25"/>
      <c r="BX202" s="25"/>
      <c r="BY202" s="25"/>
      <c r="BZ202" s="25"/>
      <c r="CA202" s="25"/>
      <c r="CB202" s="26"/>
      <c r="CC202" s="26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46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25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30"/>
      <c r="GP202" s="30"/>
      <c r="GQ202" s="12"/>
      <c r="GR202" s="30"/>
      <c r="GS202" s="12"/>
      <c r="GT202" s="12"/>
      <c r="GU202" s="25"/>
      <c r="GV202" s="12"/>
      <c r="GW202" s="12"/>
      <c r="GX202" s="30"/>
      <c r="GY202" s="30"/>
      <c r="GZ202" s="30"/>
      <c r="HA202" s="30"/>
      <c r="HB202" s="30"/>
      <c r="HC202" s="30"/>
      <c r="HD202" s="30"/>
      <c r="HE202" s="30"/>
      <c r="HF202" s="30"/>
      <c r="HG202" s="30"/>
      <c r="HH202" s="30"/>
      <c r="HI202" s="12"/>
      <c r="HJ202" s="12"/>
      <c r="HK202" s="12"/>
      <c r="HL202" s="12"/>
      <c r="HM202" s="12"/>
      <c r="HN202" s="12"/>
    </row>
    <row r="203" ht="13.5" customHeight="1">
      <c r="A203" s="12"/>
      <c r="B203" s="12"/>
      <c r="C203" s="12"/>
      <c r="D203" s="12"/>
      <c r="E203" s="42"/>
      <c r="F203" s="12"/>
      <c r="G203" s="12"/>
      <c r="H203" s="43"/>
      <c r="I203" s="12"/>
      <c r="J203" s="12"/>
      <c r="K203" s="43"/>
      <c r="L203" s="30"/>
      <c r="M203" s="25"/>
      <c r="N203" s="12"/>
      <c r="O203" s="12"/>
      <c r="P203" s="12"/>
      <c r="Q203" s="44"/>
      <c r="R203" s="12"/>
      <c r="S203" s="12"/>
      <c r="T203" s="12"/>
      <c r="U203" s="43"/>
      <c r="V203" s="44"/>
      <c r="W203" s="12"/>
      <c r="X203" s="12"/>
      <c r="Y203" s="12"/>
      <c r="Z203" s="43"/>
      <c r="AA203" s="43"/>
      <c r="AB203" s="12"/>
      <c r="AC203" s="12"/>
      <c r="AD203" s="12"/>
      <c r="AE203" s="12"/>
      <c r="AF203" s="12"/>
      <c r="AG203" s="12"/>
      <c r="AH203" s="12"/>
      <c r="AI203" s="12"/>
      <c r="AJ203" s="42"/>
      <c r="AK203" s="12"/>
      <c r="AL203" s="12"/>
      <c r="AM203" s="12"/>
      <c r="AN203" s="43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45"/>
      <c r="BV203" s="25"/>
      <c r="BW203" s="25"/>
      <c r="BX203" s="25"/>
      <c r="BY203" s="25"/>
      <c r="BZ203" s="25"/>
      <c r="CA203" s="25"/>
      <c r="CB203" s="26"/>
      <c r="CC203" s="26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46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25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30"/>
      <c r="GP203" s="30"/>
      <c r="GQ203" s="12"/>
      <c r="GR203" s="30"/>
      <c r="GS203" s="12"/>
      <c r="GT203" s="12"/>
      <c r="GU203" s="25"/>
      <c r="GV203" s="12"/>
      <c r="GW203" s="12"/>
      <c r="GX203" s="30"/>
      <c r="GY203" s="30"/>
      <c r="GZ203" s="30"/>
      <c r="HA203" s="30"/>
      <c r="HB203" s="30"/>
      <c r="HC203" s="30"/>
      <c r="HD203" s="30"/>
      <c r="HE203" s="30"/>
      <c r="HF203" s="30"/>
      <c r="HG203" s="30"/>
      <c r="HH203" s="30"/>
      <c r="HI203" s="12"/>
      <c r="HJ203" s="12"/>
      <c r="HK203" s="12"/>
      <c r="HL203" s="12"/>
      <c r="HM203" s="12"/>
      <c r="HN203" s="12"/>
    </row>
    <row r="204" ht="13.5" customHeight="1">
      <c r="A204" s="12"/>
      <c r="B204" s="12"/>
      <c r="C204" s="12"/>
      <c r="D204" s="12"/>
      <c r="E204" s="42"/>
      <c r="F204" s="12"/>
      <c r="G204" s="12"/>
      <c r="H204" s="43"/>
      <c r="I204" s="12"/>
      <c r="J204" s="12"/>
      <c r="K204" s="43"/>
      <c r="L204" s="30"/>
      <c r="M204" s="25"/>
      <c r="N204" s="12"/>
      <c r="O204" s="12"/>
      <c r="P204" s="12"/>
      <c r="Q204" s="44"/>
      <c r="R204" s="12"/>
      <c r="S204" s="12"/>
      <c r="T204" s="12"/>
      <c r="U204" s="43"/>
      <c r="V204" s="44"/>
      <c r="W204" s="12"/>
      <c r="X204" s="12"/>
      <c r="Y204" s="12"/>
      <c r="Z204" s="43"/>
      <c r="AA204" s="43"/>
      <c r="AB204" s="12"/>
      <c r="AC204" s="12"/>
      <c r="AD204" s="12"/>
      <c r="AE204" s="12"/>
      <c r="AF204" s="12"/>
      <c r="AG204" s="12"/>
      <c r="AH204" s="12"/>
      <c r="AI204" s="12"/>
      <c r="AJ204" s="42"/>
      <c r="AK204" s="12"/>
      <c r="AL204" s="12"/>
      <c r="AM204" s="12"/>
      <c r="AN204" s="43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45"/>
      <c r="BV204" s="25"/>
      <c r="BW204" s="25"/>
      <c r="BX204" s="25"/>
      <c r="BY204" s="25"/>
      <c r="BZ204" s="25"/>
      <c r="CA204" s="25"/>
      <c r="CB204" s="26"/>
      <c r="CC204" s="26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46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25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30"/>
      <c r="GP204" s="30"/>
      <c r="GQ204" s="12"/>
      <c r="GR204" s="30"/>
      <c r="GS204" s="12"/>
      <c r="GT204" s="12"/>
      <c r="GU204" s="25"/>
      <c r="GV204" s="12"/>
      <c r="GW204" s="12"/>
      <c r="GX204" s="30"/>
      <c r="GY204" s="30"/>
      <c r="GZ204" s="30"/>
      <c r="HA204" s="30"/>
      <c r="HB204" s="30"/>
      <c r="HC204" s="30"/>
      <c r="HD204" s="30"/>
      <c r="HE204" s="30"/>
      <c r="HF204" s="30"/>
      <c r="HG204" s="30"/>
      <c r="HH204" s="30"/>
      <c r="HI204" s="12"/>
      <c r="HJ204" s="12"/>
      <c r="HK204" s="12"/>
      <c r="HL204" s="12"/>
      <c r="HM204" s="12"/>
      <c r="HN204" s="12"/>
    </row>
    <row r="205" ht="13.5" customHeight="1">
      <c r="A205" s="12"/>
      <c r="B205" s="12"/>
      <c r="C205" s="12"/>
      <c r="D205" s="12"/>
      <c r="E205" s="42"/>
      <c r="F205" s="12"/>
      <c r="G205" s="12"/>
      <c r="H205" s="43"/>
      <c r="I205" s="12"/>
      <c r="J205" s="12"/>
      <c r="K205" s="43"/>
      <c r="L205" s="30"/>
      <c r="M205" s="25"/>
      <c r="N205" s="12"/>
      <c r="O205" s="12"/>
      <c r="P205" s="12"/>
      <c r="Q205" s="44"/>
      <c r="R205" s="12"/>
      <c r="S205" s="12"/>
      <c r="T205" s="12"/>
      <c r="U205" s="43"/>
      <c r="V205" s="44"/>
      <c r="W205" s="12"/>
      <c r="X205" s="12"/>
      <c r="Y205" s="12"/>
      <c r="Z205" s="43"/>
      <c r="AA205" s="43"/>
      <c r="AB205" s="12"/>
      <c r="AC205" s="12"/>
      <c r="AD205" s="12"/>
      <c r="AE205" s="12"/>
      <c r="AF205" s="12"/>
      <c r="AG205" s="12"/>
      <c r="AH205" s="12"/>
      <c r="AI205" s="12"/>
      <c r="AJ205" s="42"/>
      <c r="AK205" s="12"/>
      <c r="AL205" s="12"/>
      <c r="AM205" s="12"/>
      <c r="AN205" s="43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45"/>
      <c r="BV205" s="25"/>
      <c r="BW205" s="25"/>
      <c r="BX205" s="25"/>
      <c r="BY205" s="25"/>
      <c r="BZ205" s="25"/>
      <c r="CA205" s="25"/>
      <c r="CB205" s="26"/>
      <c r="CC205" s="26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46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25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30"/>
      <c r="GP205" s="30"/>
      <c r="GQ205" s="12"/>
      <c r="GR205" s="30"/>
      <c r="GS205" s="12"/>
      <c r="GT205" s="12"/>
      <c r="GU205" s="25"/>
      <c r="GV205" s="12"/>
      <c r="GW205" s="12"/>
      <c r="GX205" s="30"/>
      <c r="GY205" s="30"/>
      <c r="GZ205" s="30"/>
      <c r="HA205" s="30"/>
      <c r="HB205" s="30"/>
      <c r="HC205" s="30"/>
      <c r="HD205" s="30"/>
      <c r="HE205" s="30"/>
      <c r="HF205" s="30"/>
      <c r="HG205" s="30"/>
      <c r="HH205" s="30"/>
      <c r="HI205" s="12"/>
      <c r="HJ205" s="12"/>
      <c r="HK205" s="12"/>
      <c r="HL205" s="12"/>
      <c r="HM205" s="12"/>
      <c r="HN205" s="12"/>
    </row>
    <row r="206" ht="13.5" customHeight="1">
      <c r="A206" s="12"/>
      <c r="B206" s="12"/>
      <c r="C206" s="12"/>
      <c r="D206" s="12"/>
      <c r="E206" s="42"/>
      <c r="F206" s="12"/>
      <c r="G206" s="12"/>
      <c r="H206" s="43"/>
      <c r="I206" s="12"/>
      <c r="J206" s="12"/>
      <c r="K206" s="43"/>
      <c r="L206" s="30"/>
      <c r="M206" s="25"/>
      <c r="N206" s="12"/>
      <c r="O206" s="12"/>
      <c r="P206" s="12"/>
      <c r="Q206" s="44"/>
      <c r="R206" s="12"/>
      <c r="S206" s="12"/>
      <c r="T206" s="12"/>
      <c r="U206" s="43"/>
      <c r="V206" s="44"/>
      <c r="W206" s="12"/>
      <c r="X206" s="12"/>
      <c r="Y206" s="12"/>
      <c r="Z206" s="43"/>
      <c r="AA206" s="43"/>
      <c r="AB206" s="12"/>
      <c r="AC206" s="12"/>
      <c r="AD206" s="12"/>
      <c r="AE206" s="12"/>
      <c r="AF206" s="12"/>
      <c r="AG206" s="12"/>
      <c r="AH206" s="12"/>
      <c r="AI206" s="12"/>
      <c r="AJ206" s="42"/>
      <c r="AK206" s="12"/>
      <c r="AL206" s="12"/>
      <c r="AM206" s="12"/>
      <c r="AN206" s="43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45"/>
      <c r="BV206" s="25"/>
      <c r="BW206" s="25"/>
      <c r="BX206" s="25"/>
      <c r="BY206" s="25"/>
      <c r="BZ206" s="25"/>
      <c r="CA206" s="25"/>
      <c r="CB206" s="26"/>
      <c r="CC206" s="26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46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25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30"/>
      <c r="GP206" s="30"/>
      <c r="GQ206" s="12"/>
      <c r="GR206" s="30"/>
      <c r="GS206" s="12"/>
      <c r="GT206" s="12"/>
      <c r="GU206" s="25"/>
      <c r="GV206" s="12"/>
      <c r="GW206" s="12"/>
      <c r="GX206" s="30"/>
      <c r="GY206" s="30"/>
      <c r="GZ206" s="30"/>
      <c r="HA206" s="30"/>
      <c r="HB206" s="30"/>
      <c r="HC206" s="30"/>
      <c r="HD206" s="30"/>
      <c r="HE206" s="30"/>
      <c r="HF206" s="30"/>
      <c r="HG206" s="30"/>
      <c r="HH206" s="30"/>
      <c r="HI206" s="12"/>
      <c r="HJ206" s="12"/>
      <c r="HK206" s="12"/>
      <c r="HL206" s="12"/>
      <c r="HM206" s="12"/>
      <c r="HN206" s="12"/>
    </row>
    <row r="207" ht="13.5" customHeight="1">
      <c r="A207" s="12"/>
      <c r="B207" s="12"/>
      <c r="C207" s="12"/>
      <c r="D207" s="12"/>
      <c r="E207" s="42"/>
      <c r="F207" s="12"/>
      <c r="G207" s="12"/>
      <c r="H207" s="43"/>
      <c r="I207" s="12"/>
      <c r="J207" s="12"/>
      <c r="K207" s="43"/>
      <c r="L207" s="30"/>
      <c r="M207" s="25"/>
      <c r="N207" s="12"/>
      <c r="O207" s="12"/>
      <c r="P207" s="12"/>
      <c r="Q207" s="44"/>
      <c r="R207" s="12"/>
      <c r="S207" s="12"/>
      <c r="T207" s="12"/>
      <c r="U207" s="43"/>
      <c r="V207" s="44"/>
      <c r="W207" s="12"/>
      <c r="X207" s="12"/>
      <c r="Y207" s="12"/>
      <c r="Z207" s="43"/>
      <c r="AA207" s="43"/>
      <c r="AB207" s="12"/>
      <c r="AC207" s="12"/>
      <c r="AD207" s="12"/>
      <c r="AE207" s="12"/>
      <c r="AF207" s="12"/>
      <c r="AG207" s="12"/>
      <c r="AH207" s="12"/>
      <c r="AI207" s="12"/>
      <c r="AJ207" s="42"/>
      <c r="AK207" s="12"/>
      <c r="AL207" s="12"/>
      <c r="AM207" s="12"/>
      <c r="AN207" s="43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45"/>
      <c r="BV207" s="25"/>
      <c r="BW207" s="25"/>
      <c r="BX207" s="25"/>
      <c r="BY207" s="25"/>
      <c r="BZ207" s="25"/>
      <c r="CA207" s="25"/>
      <c r="CB207" s="26"/>
      <c r="CC207" s="26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46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25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30"/>
      <c r="GP207" s="30"/>
      <c r="GQ207" s="12"/>
      <c r="GR207" s="30"/>
      <c r="GS207" s="12"/>
      <c r="GT207" s="12"/>
      <c r="GU207" s="25"/>
      <c r="GV207" s="12"/>
      <c r="GW207" s="12"/>
      <c r="GX207" s="30"/>
      <c r="GY207" s="30"/>
      <c r="GZ207" s="30"/>
      <c r="HA207" s="30"/>
      <c r="HB207" s="30"/>
      <c r="HC207" s="30"/>
      <c r="HD207" s="30"/>
      <c r="HE207" s="30"/>
      <c r="HF207" s="30"/>
      <c r="HG207" s="30"/>
      <c r="HH207" s="30"/>
      <c r="HI207" s="12"/>
      <c r="HJ207" s="12"/>
      <c r="HK207" s="12"/>
      <c r="HL207" s="12"/>
      <c r="HM207" s="12"/>
      <c r="HN207" s="12"/>
    </row>
    <row r="208" ht="13.5" customHeight="1">
      <c r="A208" s="12"/>
      <c r="B208" s="12"/>
      <c r="C208" s="12"/>
      <c r="D208" s="12"/>
      <c r="E208" s="42"/>
      <c r="F208" s="12"/>
      <c r="G208" s="12"/>
      <c r="H208" s="43"/>
      <c r="I208" s="12"/>
      <c r="J208" s="12"/>
      <c r="K208" s="43"/>
      <c r="L208" s="30"/>
      <c r="M208" s="25"/>
      <c r="N208" s="12"/>
      <c r="O208" s="12"/>
      <c r="P208" s="12"/>
      <c r="Q208" s="44"/>
      <c r="R208" s="12"/>
      <c r="S208" s="12"/>
      <c r="T208" s="12"/>
      <c r="U208" s="43"/>
      <c r="V208" s="44"/>
      <c r="W208" s="12"/>
      <c r="X208" s="12"/>
      <c r="Y208" s="12"/>
      <c r="Z208" s="43"/>
      <c r="AA208" s="43"/>
      <c r="AB208" s="12"/>
      <c r="AC208" s="12"/>
      <c r="AD208" s="12"/>
      <c r="AE208" s="12"/>
      <c r="AF208" s="12"/>
      <c r="AG208" s="12"/>
      <c r="AH208" s="12"/>
      <c r="AI208" s="12"/>
      <c r="AJ208" s="42"/>
      <c r="AK208" s="12"/>
      <c r="AL208" s="12"/>
      <c r="AM208" s="12"/>
      <c r="AN208" s="43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45"/>
      <c r="BV208" s="25"/>
      <c r="BW208" s="25"/>
      <c r="BX208" s="25"/>
      <c r="BY208" s="25"/>
      <c r="BZ208" s="25"/>
      <c r="CA208" s="25"/>
      <c r="CB208" s="26"/>
      <c r="CC208" s="26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46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25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30"/>
      <c r="GP208" s="30"/>
      <c r="GQ208" s="12"/>
      <c r="GR208" s="30"/>
      <c r="GS208" s="12"/>
      <c r="GT208" s="12"/>
      <c r="GU208" s="25"/>
      <c r="GV208" s="12"/>
      <c r="GW208" s="12"/>
      <c r="GX208" s="30"/>
      <c r="GY208" s="30"/>
      <c r="GZ208" s="30"/>
      <c r="HA208" s="30"/>
      <c r="HB208" s="30"/>
      <c r="HC208" s="30"/>
      <c r="HD208" s="30"/>
      <c r="HE208" s="30"/>
      <c r="HF208" s="30"/>
      <c r="HG208" s="30"/>
      <c r="HH208" s="30"/>
      <c r="HI208" s="12"/>
      <c r="HJ208" s="12"/>
      <c r="HK208" s="12"/>
      <c r="HL208" s="12"/>
      <c r="HM208" s="12"/>
      <c r="HN208" s="12"/>
    </row>
    <row r="209" ht="13.5" customHeight="1">
      <c r="A209" s="12"/>
      <c r="B209" s="12"/>
      <c r="C209" s="12"/>
      <c r="D209" s="12"/>
      <c r="E209" s="42"/>
      <c r="F209" s="12"/>
      <c r="G209" s="12"/>
      <c r="H209" s="43"/>
      <c r="I209" s="12"/>
      <c r="J209" s="12"/>
      <c r="K209" s="43"/>
      <c r="L209" s="30"/>
      <c r="M209" s="25"/>
      <c r="N209" s="12"/>
      <c r="O209" s="12"/>
      <c r="P209" s="12"/>
      <c r="Q209" s="44"/>
      <c r="R209" s="12"/>
      <c r="S209" s="12"/>
      <c r="T209" s="12"/>
      <c r="U209" s="43"/>
      <c r="V209" s="44"/>
      <c r="W209" s="12"/>
      <c r="X209" s="12"/>
      <c r="Y209" s="12"/>
      <c r="Z209" s="43"/>
      <c r="AA209" s="43"/>
      <c r="AB209" s="12"/>
      <c r="AC209" s="12"/>
      <c r="AD209" s="12"/>
      <c r="AE209" s="12"/>
      <c r="AF209" s="12"/>
      <c r="AG209" s="12"/>
      <c r="AH209" s="12"/>
      <c r="AI209" s="12"/>
      <c r="AJ209" s="42"/>
      <c r="AK209" s="12"/>
      <c r="AL209" s="12"/>
      <c r="AM209" s="12"/>
      <c r="AN209" s="43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45"/>
      <c r="BV209" s="25"/>
      <c r="BW209" s="25"/>
      <c r="BX209" s="25"/>
      <c r="BY209" s="25"/>
      <c r="BZ209" s="25"/>
      <c r="CA209" s="25"/>
      <c r="CB209" s="26"/>
      <c r="CC209" s="26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46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25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30"/>
      <c r="GP209" s="30"/>
      <c r="GQ209" s="12"/>
      <c r="GR209" s="30"/>
      <c r="GS209" s="12"/>
      <c r="GT209" s="12"/>
      <c r="GU209" s="25"/>
      <c r="GV209" s="12"/>
      <c r="GW209" s="12"/>
      <c r="GX209" s="30"/>
      <c r="GY209" s="30"/>
      <c r="GZ209" s="30"/>
      <c r="HA209" s="30"/>
      <c r="HB209" s="30"/>
      <c r="HC209" s="30"/>
      <c r="HD209" s="30"/>
      <c r="HE209" s="30"/>
      <c r="HF209" s="30"/>
      <c r="HG209" s="30"/>
      <c r="HH209" s="30"/>
      <c r="HI209" s="12"/>
      <c r="HJ209" s="12"/>
      <c r="HK209" s="12"/>
      <c r="HL209" s="12"/>
      <c r="HM209" s="12"/>
      <c r="HN209" s="12"/>
    </row>
    <row r="210" ht="13.5" customHeight="1">
      <c r="A210" s="12"/>
      <c r="B210" s="12"/>
      <c r="C210" s="12"/>
      <c r="D210" s="12"/>
      <c r="E210" s="42"/>
      <c r="F210" s="12"/>
      <c r="G210" s="12"/>
      <c r="H210" s="43"/>
      <c r="I210" s="12"/>
      <c r="J210" s="12"/>
      <c r="K210" s="43"/>
      <c r="L210" s="30"/>
      <c r="M210" s="25"/>
      <c r="N210" s="12"/>
      <c r="O210" s="12"/>
      <c r="P210" s="12"/>
      <c r="Q210" s="44"/>
      <c r="R210" s="12"/>
      <c r="S210" s="12"/>
      <c r="T210" s="12"/>
      <c r="U210" s="43"/>
      <c r="V210" s="44"/>
      <c r="W210" s="12"/>
      <c r="X210" s="12"/>
      <c r="Y210" s="12"/>
      <c r="Z210" s="43"/>
      <c r="AA210" s="43"/>
      <c r="AB210" s="12"/>
      <c r="AC210" s="12"/>
      <c r="AD210" s="12"/>
      <c r="AE210" s="12"/>
      <c r="AF210" s="12"/>
      <c r="AG210" s="12"/>
      <c r="AH210" s="12"/>
      <c r="AI210" s="12"/>
      <c r="AJ210" s="42"/>
      <c r="AK210" s="12"/>
      <c r="AL210" s="12"/>
      <c r="AM210" s="12"/>
      <c r="AN210" s="43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45"/>
      <c r="BV210" s="25"/>
      <c r="BW210" s="25"/>
      <c r="BX210" s="25"/>
      <c r="BY210" s="25"/>
      <c r="BZ210" s="25"/>
      <c r="CA210" s="25"/>
      <c r="CB210" s="26"/>
      <c r="CC210" s="26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46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25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30"/>
      <c r="GP210" s="30"/>
      <c r="GQ210" s="12"/>
      <c r="GR210" s="30"/>
      <c r="GS210" s="12"/>
      <c r="GT210" s="12"/>
      <c r="GU210" s="25"/>
      <c r="GV210" s="12"/>
      <c r="GW210" s="12"/>
      <c r="GX210" s="30"/>
      <c r="GY210" s="30"/>
      <c r="GZ210" s="30"/>
      <c r="HA210" s="30"/>
      <c r="HB210" s="30"/>
      <c r="HC210" s="30"/>
      <c r="HD210" s="30"/>
      <c r="HE210" s="30"/>
      <c r="HF210" s="30"/>
      <c r="HG210" s="30"/>
      <c r="HH210" s="30"/>
      <c r="HI210" s="12"/>
      <c r="HJ210" s="12"/>
      <c r="HK210" s="12"/>
      <c r="HL210" s="12"/>
      <c r="HM210" s="12"/>
      <c r="HN210" s="12"/>
    </row>
    <row r="211" ht="13.5" customHeight="1">
      <c r="A211" s="12"/>
      <c r="B211" s="12"/>
      <c r="C211" s="12"/>
      <c r="D211" s="12"/>
      <c r="E211" s="42"/>
      <c r="F211" s="12"/>
      <c r="G211" s="12"/>
      <c r="H211" s="43"/>
      <c r="I211" s="12"/>
      <c r="J211" s="12"/>
      <c r="K211" s="43"/>
      <c r="L211" s="30"/>
      <c r="M211" s="25"/>
      <c r="N211" s="12"/>
      <c r="O211" s="12"/>
      <c r="P211" s="12"/>
      <c r="Q211" s="44"/>
      <c r="R211" s="12"/>
      <c r="S211" s="12"/>
      <c r="T211" s="12"/>
      <c r="U211" s="43"/>
      <c r="V211" s="44"/>
      <c r="W211" s="12"/>
      <c r="X211" s="12"/>
      <c r="Y211" s="12"/>
      <c r="Z211" s="43"/>
      <c r="AA211" s="43"/>
      <c r="AB211" s="12"/>
      <c r="AC211" s="12"/>
      <c r="AD211" s="12"/>
      <c r="AE211" s="12"/>
      <c r="AF211" s="12"/>
      <c r="AG211" s="12"/>
      <c r="AH211" s="12"/>
      <c r="AI211" s="12"/>
      <c r="AJ211" s="42"/>
      <c r="AK211" s="12"/>
      <c r="AL211" s="12"/>
      <c r="AM211" s="12"/>
      <c r="AN211" s="43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45"/>
      <c r="BV211" s="25"/>
      <c r="BW211" s="25"/>
      <c r="BX211" s="25"/>
      <c r="BY211" s="25"/>
      <c r="BZ211" s="25"/>
      <c r="CA211" s="25"/>
      <c r="CB211" s="26"/>
      <c r="CC211" s="26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46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25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30"/>
      <c r="GP211" s="30"/>
      <c r="GQ211" s="12"/>
      <c r="GR211" s="30"/>
      <c r="GS211" s="12"/>
      <c r="GT211" s="12"/>
      <c r="GU211" s="25"/>
      <c r="GV211" s="12"/>
      <c r="GW211" s="12"/>
      <c r="GX211" s="30"/>
      <c r="GY211" s="30"/>
      <c r="GZ211" s="30"/>
      <c r="HA211" s="30"/>
      <c r="HB211" s="30"/>
      <c r="HC211" s="30"/>
      <c r="HD211" s="30"/>
      <c r="HE211" s="30"/>
      <c r="HF211" s="30"/>
      <c r="HG211" s="30"/>
      <c r="HH211" s="30"/>
      <c r="HI211" s="12"/>
      <c r="HJ211" s="12"/>
      <c r="HK211" s="12"/>
      <c r="HL211" s="12"/>
      <c r="HM211" s="12"/>
      <c r="HN211" s="12"/>
    </row>
    <row r="212" ht="13.5" customHeight="1">
      <c r="A212" s="12"/>
      <c r="B212" s="12"/>
      <c r="C212" s="12"/>
      <c r="D212" s="12"/>
      <c r="E212" s="42"/>
      <c r="F212" s="12"/>
      <c r="G212" s="12"/>
      <c r="H212" s="43"/>
      <c r="I212" s="12"/>
      <c r="J212" s="12"/>
      <c r="K212" s="43"/>
      <c r="L212" s="30"/>
      <c r="M212" s="25"/>
      <c r="N212" s="12"/>
      <c r="O212" s="12"/>
      <c r="P212" s="12"/>
      <c r="Q212" s="44"/>
      <c r="R212" s="12"/>
      <c r="S212" s="12"/>
      <c r="T212" s="12"/>
      <c r="U212" s="43"/>
      <c r="V212" s="44"/>
      <c r="W212" s="12"/>
      <c r="X212" s="12"/>
      <c r="Y212" s="12"/>
      <c r="Z212" s="43"/>
      <c r="AA212" s="43"/>
      <c r="AB212" s="12"/>
      <c r="AC212" s="12"/>
      <c r="AD212" s="12"/>
      <c r="AE212" s="12"/>
      <c r="AF212" s="12"/>
      <c r="AG212" s="12"/>
      <c r="AH212" s="12"/>
      <c r="AI212" s="12"/>
      <c r="AJ212" s="42"/>
      <c r="AK212" s="12"/>
      <c r="AL212" s="12"/>
      <c r="AM212" s="12"/>
      <c r="AN212" s="43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45"/>
      <c r="BV212" s="25"/>
      <c r="BW212" s="25"/>
      <c r="BX212" s="25"/>
      <c r="BY212" s="25"/>
      <c r="BZ212" s="25"/>
      <c r="CA212" s="25"/>
      <c r="CB212" s="26"/>
      <c r="CC212" s="26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46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25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30"/>
      <c r="GP212" s="30"/>
      <c r="GQ212" s="12"/>
      <c r="GR212" s="30"/>
      <c r="GS212" s="12"/>
      <c r="GT212" s="12"/>
      <c r="GU212" s="25"/>
      <c r="GV212" s="12"/>
      <c r="GW212" s="12"/>
      <c r="GX212" s="30"/>
      <c r="GY212" s="30"/>
      <c r="GZ212" s="30"/>
      <c r="HA212" s="30"/>
      <c r="HB212" s="30"/>
      <c r="HC212" s="30"/>
      <c r="HD212" s="30"/>
      <c r="HE212" s="30"/>
      <c r="HF212" s="30"/>
      <c r="HG212" s="30"/>
      <c r="HH212" s="30"/>
      <c r="HI212" s="12"/>
      <c r="HJ212" s="12"/>
      <c r="HK212" s="12"/>
      <c r="HL212" s="12"/>
      <c r="HM212" s="12"/>
      <c r="HN212" s="12"/>
    </row>
    <row r="213" ht="13.5" customHeight="1">
      <c r="A213" s="12"/>
      <c r="B213" s="12"/>
      <c r="C213" s="12"/>
      <c r="D213" s="12"/>
      <c r="E213" s="42"/>
      <c r="F213" s="12"/>
      <c r="G213" s="12"/>
      <c r="H213" s="43"/>
      <c r="I213" s="12"/>
      <c r="J213" s="12"/>
      <c r="K213" s="43"/>
      <c r="L213" s="30"/>
      <c r="M213" s="25"/>
      <c r="N213" s="12"/>
      <c r="O213" s="12"/>
      <c r="P213" s="12"/>
      <c r="Q213" s="44"/>
      <c r="R213" s="12"/>
      <c r="S213" s="12"/>
      <c r="T213" s="12"/>
      <c r="U213" s="43"/>
      <c r="V213" s="44"/>
      <c r="W213" s="12"/>
      <c r="X213" s="12"/>
      <c r="Y213" s="12"/>
      <c r="Z213" s="43"/>
      <c r="AA213" s="43"/>
      <c r="AB213" s="12"/>
      <c r="AC213" s="12"/>
      <c r="AD213" s="12"/>
      <c r="AE213" s="12"/>
      <c r="AF213" s="12"/>
      <c r="AG213" s="12"/>
      <c r="AH213" s="12"/>
      <c r="AI213" s="12"/>
      <c r="AJ213" s="42"/>
      <c r="AK213" s="12"/>
      <c r="AL213" s="12"/>
      <c r="AM213" s="12"/>
      <c r="AN213" s="43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45"/>
      <c r="BV213" s="25"/>
      <c r="BW213" s="25"/>
      <c r="BX213" s="25"/>
      <c r="BY213" s="25"/>
      <c r="BZ213" s="25"/>
      <c r="CA213" s="25"/>
      <c r="CB213" s="26"/>
      <c r="CC213" s="26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46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25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30"/>
      <c r="GP213" s="30"/>
      <c r="GQ213" s="12"/>
      <c r="GR213" s="30"/>
      <c r="GS213" s="12"/>
      <c r="GT213" s="12"/>
      <c r="GU213" s="25"/>
      <c r="GV213" s="12"/>
      <c r="GW213" s="12"/>
      <c r="GX213" s="30"/>
      <c r="GY213" s="30"/>
      <c r="GZ213" s="30"/>
      <c r="HA213" s="30"/>
      <c r="HB213" s="30"/>
      <c r="HC213" s="30"/>
      <c r="HD213" s="30"/>
      <c r="HE213" s="30"/>
      <c r="HF213" s="30"/>
      <c r="HG213" s="30"/>
      <c r="HH213" s="30"/>
      <c r="HI213" s="12"/>
      <c r="HJ213" s="12"/>
      <c r="HK213" s="12"/>
      <c r="HL213" s="12"/>
      <c r="HM213" s="12"/>
      <c r="HN213" s="12"/>
    </row>
    <row r="214" ht="13.5" customHeight="1">
      <c r="A214" s="12"/>
      <c r="B214" s="12"/>
      <c r="C214" s="12"/>
      <c r="D214" s="12"/>
      <c r="E214" s="42"/>
      <c r="F214" s="12"/>
      <c r="G214" s="12"/>
      <c r="H214" s="43"/>
      <c r="I214" s="12"/>
      <c r="J214" s="12"/>
      <c r="K214" s="43"/>
      <c r="L214" s="30"/>
      <c r="M214" s="25"/>
      <c r="N214" s="12"/>
      <c r="O214" s="12"/>
      <c r="P214" s="12"/>
      <c r="Q214" s="44"/>
      <c r="R214" s="12"/>
      <c r="S214" s="12"/>
      <c r="T214" s="12"/>
      <c r="U214" s="43"/>
      <c r="V214" s="44"/>
      <c r="W214" s="12"/>
      <c r="X214" s="12"/>
      <c r="Y214" s="12"/>
      <c r="Z214" s="43"/>
      <c r="AA214" s="43"/>
      <c r="AB214" s="12"/>
      <c r="AC214" s="12"/>
      <c r="AD214" s="12"/>
      <c r="AE214" s="12"/>
      <c r="AF214" s="12"/>
      <c r="AG214" s="12"/>
      <c r="AH214" s="12"/>
      <c r="AI214" s="12"/>
      <c r="AJ214" s="42"/>
      <c r="AK214" s="12"/>
      <c r="AL214" s="12"/>
      <c r="AM214" s="12"/>
      <c r="AN214" s="43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45"/>
      <c r="BV214" s="25"/>
      <c r="BW214" s="25"/>
      <c r="BX214" s="25"/>
      <c r="BY214" s="25"/>
      <c r="BZ214" s="25"/>
      <c r="CA214" s="25"/>
      <c r="CB214" s="26"/>
      <c r="CC214" s="26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46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25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30"/>
      <c r="GP214" s="30"/>
      <c r="GQ214" s="12"/>
      <c r="GR214" s="30"/>
      <c r="GS214" s="12"/>
      <c r="GT214" s="12"/>
      <c r="GU214" s="25"/>
      <c r="GV214" s="12"/>
      <c r="GW214" s="12"/>
      <c r="GX214" s="30"/>
      <c r="GY214" s="30"/>
      <c r="GZ214" s="30"/>
      <c r="HA214" s="30"/>
      <c r="HB214" s="30"/>
      <c r="HC214" s="30"/>
      <c r="HD214" s="30"/>
      <c r="HE214" s="30"/>
      <c r="HF214" s="30"/>
      <c r="HG214" s="30"/>
      <c r="HH214" s="30"/>
      <c r="HI214" s="12"/>
      <c r="HJ214" s="12"/>
      <c r="HK214" s="12"/>
      <c r="HL214" s="12"/>
      <c r="HM214" s="12"/>
      <c r="HN214" s="12"/>
    </row>
    <row r="215" ht="13.5" customHeight="1">
      <c r="A215" s="12"/>
      <c r="B215" s="12"/>
      <c r="C215" s="12"/>
      <c r="D215" s="12"/>
      <c r="E215" s="42"/>
      <c r="F215" s="12"/>
      <c r="G215" s="12"/>
      <c r="H215" s="43"/>
      <c r="I215" s="12"/>
      <c r="J215" s="12"/>
      <c r="K215" s="43"/>
      <c r="L215" s="30"/>
      <c r="M215" s="25"/>
      <c r="N215" s="12"/>
      <c r="O215" s="12"/>
      <c r="P215" s="12"/>
      <c r="Q215" s="44"/>
      <c r="R215" s="12"/>
      <c r="S215" s="12"/>
      <c r="T215" s="12"/>
      <c r="U215" s="43"/>
      <c r="V215" s="44"/>
      <c r="W215" s="12"/>
      <c r="X215" s="12"/>
      <c r="Y215" s="12"/>
      <c r="Z215" s="43"/>
      <c r="AA215" s="43"/>
      <c r="AB215" s="12"/>
      <c r="AC215" s="12"/>
      <c r="AD215" s="12"/>
      <c r="AE215" s="12"/>
      <c r="AF215" s="12"/>
      <c r="AG215" s="12"/>
      <c r="AH215" s="12"/>
      <c r="AI215" s="12"/>
      <c r="AJ215" s="42"/>
      <c r="AK215" s="12"/>
      <c r="AL215" s="12"/>
      <c r="AM215" s="12"/>
      <c r="AN215" s="43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45"/>
      <c r="BV215" s="25"/>
      <c r="BW215" s="25"/>
      <c r="BX215" s="25"/>
      <c r="BY215" s="25"/>
      <c r="BZ215" s="25"/>
      <c r="CA215" s="25"/>
      <c r="CB215" s="26"/>
      <c r="CC215" s="26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46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25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30"/>
      <c r="GP215" s="30"/>
      <c r="GQ215" s="12"/>
      <c r="GR215" s="30"/>
      <c r="GS215" s="12"/>
      <c r="GT215" s="12"/>
      <c r="GU215" s="25"/>
      <c r="GV215" s="12"/>
      <c r="GW215" s="12"/>
      <c r="GX215" s="30"/>
      <c r="GY215" s="30"/>
      <c r="GZ215" s="30"/>
      <c r="HA215" s="30"/>
      <c r="HB215" s="30"/>
      <c r="HC215" s="30"/>
      <c r="HD215" s="30"/>
      <c r="HE215" s="30"/>
      <c r="HF215" s="30"/>
      <c r="HG215" s="30"/>
      <c r="HH215" s="30"/>
      <c r="HI215" s="12"/>
      <c r="HJ215" s="12"/>
      <c r="HK215" s="12"/>
      <c r="HL215" s="12"/>
      <c r="HM215" s="12"/>
      <c r="HN215" s="12"/>
    </row>
    <row r="216" ht="13.5" customHeight="1">
      <c r="A216" s="12"/>
      <c r="B216" s="12"/>
      <c r="C216" s="12"/>
      <c r="D216" s="12"/>
      <c r="E216" s="42"/>
      <c r="F216" s="12"/>
      <c r="G216" s="12"/>
      <c r="H216" s="43"/>
      <c r="I216" s="12"/>
      <c r="J216" s="12"/>
      <c r="K216" s="43"/>
      <c r="L216" s="30"/>
      <c r="M216" s="25"/>
      <c r="N216" s="12"/>
      <c r="O216" s="12"/>
      <c r="P216" s="12"/>
      <c r="Q216" s="44"/>
      <c r="R216" s="12"/>
      <c r="S216" s="12"/>
      <c r="T216" s="12"/>
      <c r="U216" s="43"/>
      <c r="V216" s="44"/>
      <c r="W216" s="12"/>
      <c r="X216" s="12"/>
      <c r="Y216" s="12"/>
      <c r="Z216" s="43"/>
      <c r="AA216" s="43"/>
      <c r="AB216" s="12"/>
      <c r="AC216" s="12"/>
      <c r="AD216" s="12"/>
      <c r="AE216" s="12"/>
      <c r="AF216" s="12"/>
      <c r="AG216" s="12"/>
      <c r="AH216" s="12"/>
      <c r="AI216" s="12"/>
      <c r="AJ216" s="42"/>
      <c r="AK216" s="12"/>
      <c r="AL216" s="12"/>
      <c r="AM216" s="12"/>
      <c r="AN216" s="43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45"/>
      <c r="BV216" s="25"/>
      <c r="BW216" s="25"/>
      <c r="BX216" s="25"/>
      <c r="BY216" s="25"/>
      <c r="BZ216" s="25"/>
      <c r="CA216" s="25"/>
      <c r="CB216" s="26"/>
      <c r="CC216" s="26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46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25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30"/>
      <c r="GP216" s="30"/>
      <c r="GQ216" s="12"/>
      <c r="GR216" s="30"/>
      <c r="GS216" s="12"/>
      <c r="GT216" s="12"/>
      <c r="GU216" s="25"/>
      <c r="GV216" s="12"/>
      <c r="GW216" s="12"/>
      <c r="GX216" s="30"/>
      <c r="GY216" s="30"/>
      <c r="GZ216" s="30"/>
      <c r="HA216" s="30"/>
      <c r="HB216" s="30"/>
      <c r="HC216" s="30"/>
      <c r="HD216" s="30"/>
      <c r="HE216" s="30"/>
      <c r="HF216" s="30"/>
      <c r="HG216" s="30"/>
      <c r="HH216" s="30"/>
      <c r="HI216" s="12"/>
      <c r="HJ216" s="12"/>
      <c r="HK216" s="12"/>
      <c r="HL216" s="12"/>
      <c r="HM216" s="12"/>
      <c r="HN216" s="12"/>
    </row>
    <row r="217" ht="13.5" customHeight="1">
      <c r="A217" s="12"/>
      <c r="B217" s="12"/>
      <c r="C217" s="12"/>
      <c r="D217" s="12"/>
      <c r="E217" s="42"/>
      <c r="F217" s="12"/>
      <c r="G217" s="12"/>
      <c r="H217" s="43"/>
      <c r="I217" s="12"/>
      <c r="J217" s="12"/>
      <c r="K217" s="43"/>
      <c r="L217" s="30"/>
      <c r="M217" s="25"/>
      <c r="N217" s="12"/>
      <c r="O217" s="12"/>
      <c r="P217" s="12"/>
      <c r="Q217" s="44"/>
      <c r="R217" s="12"/>
      <c r="S217" s="12"/>
      <c r="T217" s="12"/>
      <c r="U217" s="43"/>
      <c r="V217" s="44"/>
      <c r="W217" s="12"/>
      <c r="X217" s="12"/>
      <c r="Y217" s="12"/>
      <c r="Z217" s="43"/>
      <c r="AA217" s="43"/>
      <c r="AB217" s="12"/>
      <c r="AC217" s="12"/>
      <c r="AD217" s="12"/>
      <c r="AE217" s="12"/>
      <c r="AF217" s="12"/>
      <c r="AG217" s="12"/>
      <c r="AH217" s="12"/>
      <c r="AI217" s="12"/>
      <c r="AJ217" s="42"/>
      <c r="AK217" s="12"/>
      <c r="AL217" s="12"/>
      <c r="AM217" s="12"/>
      <c r="AN217" s="43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45"/>
      <c r="BV217" s="25"/>
      <c r="BW217" s="25"/>
      <c r="BX217" s="25"/>
      <c r="BY217" s="25"/>
      <c r="BZ217" s="25"/>
      <c r="CA217" s="25"/>
      <c r="CB217" s="26"/>
      <c r="CC217" s="26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46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25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30"/>
      <c r="GP217" s="30"/>
      <c r="GQ217" s="12"/>
      <c r="GR217" s="30"/>
      <c r="GS217" s="12"/>
      <c r="GT217" s="12"/>
      <c r="GU217" s="25"/>
      <c r="GV217" s="12"/>
      <c r="GW217" s="12"/>
      <c r="GX217" s="30"/>
      <c r="GY217" s="30"/>
      <c r="GZ217" s="30"/>
      <c r="HA217" s="30"/>
      <c r="HB217" s="30"/>
      <c r="HC217" s="30"/>
      <c r="HD217" s="30"/>
      <c r="HE217" s="30"/>
      <c r="HF217" s="30"/>
      <c r="HG217" s="30"/>
      <c r="HH217" s="30"/>
      <c r="HI217" s="12"/>
      <c r="HJ217" s="12"/>
      <c r="HK217" s="12"/>
      <c r="HL217" s="12"/>
      <c r="HM217" s="12"/>
      <c r="HN217" s="12"/>
    </row>
    <row r="218" ht="13.5" customHeight="1">
      <c r="A218" s="12"/>
      <c r="B218" s="12"/>
      <c r="C218" s="12"/>
      <c r="D218" s="12"/>
      <c r="E218" s="42"/>
      <c r="F218" s="12"/>
      <c r="G218" s="12"/>
      <c r="H218" s="43"/>
      <c r="I218" s="12"/>
      <c r="J218" s="12"/>
      <c r="K218" s="43"/>
      <c r="L218" s="30"/>
      <c r="M218" s="25"/>
      <c r="N218" s="12"/>
      <c r="O218" s="12"/>
      <c r="P218" s="12"/>
      <c r="Q218" s="44"/>
      <c r="R218" s="12"/>
      <c r="S218" s="12"/>
      <c r="T218" s="12"/>
      <c r="U218" s="43"/>
      <c r="V218" s="44"/>
      <c r="W218" s="12"/>
      <c r="X218" s="12"/>
      <c r="Y218" s="12"/>
      <c r="Z218" s="43"/>
      <c r="AA218" s="43"/>
      <c r="AB218" s="12"/>
      <c r="AC218" s="12"/>
      <c r="AD218" s="12"/>
      <c r="AE218" s="12"/>
      <c r="AF218" s="12"/>
      <c r="AG218" s="12"/>
      <c r="AH218" s="12"/>
      <c r="AI218" s="12"/>
      <c r="AJ218" s="42"/>
      <c r="AK218" s="12"/>
      <c r="AL218" s="12"/>
      <c r="AM218" s="12"/>
      <c r="AN218" s="43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45"/>
      <c r="BV218" s="25"/>
      <c r="BW218" s="25"/>
      <c r="BX218" s="25"/>
      <c r="BY218" s="25"/>
      <c r="BZ218" s="25"/>
      <c r="CA218" s="25"/>
      <c r="CB218" s="26"/>
      <c r="CC218" s="26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46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25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30"/>
      <c r="GP218" s="30"/>
      <c r="GQ218" s="12"/>
      <c r="GR218" s="30"/>
      <c r="GS218" s="12"/>
      <c r="GT218" s="12"/>
      <c r="GU218" s="25"/>
      <c r="GV218" s="12"/>
      <c r="GW218" s="12"/>
      <c r="GX218" s="30"/>
      <c r="GY218" s="30"/>
      <c r="GZ218" s="30"/>
      <c r="HA218" s="30"/>
      <c r="HB218" s="30"/>
      <c r="HC218" s="30"/>
      <c r="HD218" s="30"/>
      <c r="HE218" s="30"/>
      <c r="HF218" s="30"/>
      <c r="HG218" s="30"/>
      <c r="HH218" s="30"/>
      <c r="HI218" s="12"/>
      <c r="HJ218" s="12"/>
      <c r="HK218" s="12"/>
      <c r="HL218" s="12"/>
      <c r="HM218" s="12"/>
      <c r="HN218" s="12"/>
    </row>
    <row r="219" ht="13.5" customHeight="1">
      <c r="A219" s="12"/>
      <c r="B219" s="12"/>
      <c r="C219" s="12"/>
      <c r="D219" s="12"/>
      <c r="E219" s="42"/>
      <c r="F219" s="12"/>
      <c r="G219" s="12"/>
      <c r="H219" s="43"/>
      <c r="I219" s="12"/>
      <c r="J219" s="12"/>
      <c r="K219" s="43"/>
      <c r="L219" s="30"/>
      <c r="M219" s="25"/>
      <c r="N219" s="12"/>
      <c r="O219" s="12"/>
      <c r="P219" s="12"/>
      <c r="Q219" s="44"/>
      <c r="R219" s="12"/>
      <c r="S219" s="12"/>
      <c r="T219" s="12"/>
      <c r="U219" s="43"/>
      <c r="V219" s="44"/>
      <c r="W219" s="12"/>
      <c r="X219" s="12"/>
      <c r="Y219" s="12"/>
      <c r="Z219" s="43"/>
      <c r="AA219" s="43"/>
      <c r="AB219" s="12"/>
      <c r="AC219" s="12"/>
      <c r="AD219" s="12"/>
      <c r="AE219" s="12"/>
      <c r="AF219" s="12"/>
      <c r="AG219" s="12"/>
      <c r="AH219" s="12"/>
      <c r="AI219" s="12"/>
      <c r="AJ219" s="42"/>
      <c r="AK219" s="12"/>
      <c r="AL219" s="12"/>
      <c r="AM219" s="12"/>
      <c r="AN219" s="43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45"/>
      <c r="BV219" s="25"/>
      <c r="BW219" s="25"/>
      <c r="BX219" s="25"/>
      <c r="BY219" s="25"/>
      <c r="BZ219" s="25"/>
      <c r="CA219" s="25"/>
      <c r="CB219" s="26"/>
      <c r="CC219" s="26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46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25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30"/>
      <c r="GP219" s="30"/>
      <c r="GQ219" s="12"/>
      <c r="GR219" s="30"/>
      <c r="GS219" s="12"/>
      <c r="GT219" s="12"/>
      <c r="GU219" s="25"/>
      <c r="GV219" s="12"/>
      <c r="GW219" s="12"/>
      <c r="GX219" s="30"/>
      <c r="GY219" s="30"/>
      <c r="GZ219" s="30"/>
      <c r="HA219" s="30"/>
      <c r="HB219" s="30"/>
      <c r="HC219" s="30"/>
      <c r="HD219" s="30"/>
      <c r="HE219" s="30"/>
      <c r="HF219" s="30"/>
      <c r="HG219" s="30"/>
      <c r="HH219" s="30"/>
      <c r="HI219" s="12"/>
      <c r="HJ219" s="12"/>
      <c r="HK219" s="12"/>
      <c r="HL219" s="12"/>
      <c r="HM219" s="12"/>
      <c r="HN219" s="12"/>
    </row>
    <row r="220" ht="13.5" customHeight="1">
      <c r="A220" s="12"/>
      <c r="B220" s="12"/>
      <c r="C220" s="12"/>
      <c r="D220" s="12"/>
      <c r="E220" s="42"/>
      <c r="F220" s="12"/>
      <c r="G220" s="12"/>
      <c r="H220" s="43"/>
      <c r="I220" s="12"/>
      <c r="J220" s="12"/>
      <c r="K220" s="43"/>
      <c r="L220" s="30"/>
      <c r="M220" s="25"/>
      <c r="N220" s="12"/>
      <c r="O220" s="12"/>
      <c r="P220" s="12"/>
      <c r="Q220" s="44"/>
      <c r="R220" s="12"/>
      <c r="S220" s="12"/>
      <c r="T220" s="12"/>
      <c r="U220" s="43"/>
      <c r="V220" s="44"/>
      <c r="W220" s="12"/>
      <c r="X220" s="12"/>
      <c r="Y220" s="12"/>
      <c r="Z220" s="43"/>
      <c r="AA220" s="43"/>
      <c r="AB220" s="12"/>
      <c r="AC220" s="12"/>
      <c r="AD220" s="12"/>
      <c r="AE220" s="12"/>
      <c r="AF220" s="12"/>
      <c r="AG220" s="12"/>
      <c r="AH220" s="12"/>
      <c r="AI220" s="12"/>
      <c r="AJ220" s="42"/>
      <c r="AK220" s="12"/>
      <c r="AL220" s="12"/>
      <c r="AM220" s="12"/>
      <c r="AN220" s="43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45"/>
      <c r="BV220" s="25"/>
      <c r="BW220" s="25"/>
      <c r="BX220" s="25"/>
      <c r="BY220" s="25"/>
      <c r="BZ220" s="25"/>
      <c r="CA220" s="25"/>
      <c r="CB220" s="26"/>
      <c r="CC220" s="26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46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25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30"/>
      <c r="GP220" s="30"/>
      <c r="GQ220" s="12"/>
      <c r="GR220" s="30"/>
      <c r="GS220" s="12"/>
      <c r="GT220" s="12"/>
      <c r="GU220" s="25"/>
      <c r="GV220" s="12"/>
      <c r="GW220" s="12"/>
      <c r="GX220" s="30"/>
      <c r="GY220" s="30"/>
      <c r="GZ220" s="30"/>
      <c r="HA220" s="30"/>
      <c r="HB220" s="30"/>
      <c r="HC220" s="30"/>
      <c r="HD220" s="30"/>
      <c r="HE220" s="30"/>
      <c r="HF220" s="30"/>
      <c r="HG220" s="30"/>
      <c r="HH220" s="30"/>
      <c r="HI220" s="12"/>
      <c r="HJ220" s="12"/>
      <c r="HK220" s="12"/>
      <c r="HL220" s="12"/>
      <c r="HM220" s="12"/>
      <c r="HN220" s="12"/>
    </row>
    <row r="221" ht="13.5" customHeight="1">
      <c r="A221" s="12"/>
      <c r="B221" s="12"/>
      <c r="C221" s="12"/>
      <c r="D221" s="12"/>
      <c r="E221" s="42"/>
      <c r="F221" s="12"/>
      <c r="G221" s="12"/>
      <c r="H221" s="43"/>
      <c r="I221" s="12"/>
      <c r="J221" s="12"/>
      <c r="K221" s="43"/>
      <c r="L221" s="30"/>
      <c r="M221" s="25"/>
      <c r="N221" s="12"/>
      <c r="O221" s="12"/>
      <c r="P221" s="12"/>
      <c r="Q221" s="44"/>
      <c r="R221" s="12"/>
      <c r="S221" s="12"/>
      <c r="T221" s="12"/>
      <c r="U221" s="43"/>
      <c r="V221" s="44"/>
      <c r="W221" s="12"/>
      <c r="X221" s="12"/>
      <c r="Y221" s="12"/>
      <c r="Z221" s="43"/>
      <c r="AA221" s="43"/>
      <c r="AB221" s="12"/>
      <c r="AC221" s="12"/>
      <c r="AD221" s="12"/>
      <c r="AE221" s="12"/>
      <c r="AF221" s="12"/>
      <c r="AG221" s="12"/>
      <c r="AH221" s="12"/>
      <c r="AI221" s="12"/>
      <c r="AJ221" s="42"/>
      <c r="AK221" s="12"/>
      <c r="AL221" s="12"/>
      <c r="AM221" s="12"/>
      <c r="AN221" s="43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45"/>
      <c r="BV221" s="25"/>
      <c r="BW221" s="25"/>
      <c r="BX221" s="25"/>
      <c r="BY221" s="25"/>
      <c r="BZ221" s="25"/>
      <c r="CA221" s="25"/>
      <c r="CB221" s="26"/>
      <c r="CC221" s="26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46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25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30"/>
      <c r="GP221" s="30"/>
      <c r="GQ221" s="12"/>
      <c r="GR221" s="30"/>
      <c r="GS221" s="12"/>
      <c r="GT221" s="12"/>
      <c r="GU221" s="25"/>
      <c r="GV221" s="12"/>
      <c r="GW221" s="12"/>
      <c r="GX221" s="30"/>
      <c r="GY221" s="30"/>
      <c r="GZ221" s="30"/>
      <c r="HA221" s="30"/>
      <c r="HB221" s="30"/>
      <c r="HC221" s="30"/>
      <c r="HD221" s="30"/>
      <c r="HE221" s="30"/>
      <c r="HF221" s="30"/>
      <c r="HG221" s="30"/>
      <c r="HH221" s="30"/>
      <c r="HI221" s="12"/>
      <c r="HJ221" s="12"/>
      <c r="HK221" s="12"/>
      <c r="HL221" s="12"/>
      <c r="HM221" s="12"/>
      <c r="HN221" s="12"/>
    </row>
    <row r="222" ht="13.5" customHeight="1">
      <c r="A222" s="12"/>
      <c r="B222" s="12"/>
      <c r="C222" s="12"/>
      <c r="D222" s="12"/>
      <c r="E222" s="42"/>
      <c r="F222" s="12"/>
      <c r="G222" s="12"/>
      <c r="H222" s="43"/>
      <c r="I222" s="12"/>
      <c r="J222" s="12"/>
      <c r="K222" s="43"/>
      <c r="L222" s="30"/>
      <c r="M222" s="25"/>
      <c r="N222" s="12"/>
      <c r="O222" s="12"/>
      <c r="P222" s="12"/>
      <c r="Q222" s="44"/>
      <c r="R222" s="12"/>
      <c r="S222" s="12"/>
      <c r="T222" s="12"/>
      <c r="U222" s="43"/>
      <c r="V222" s="44"/>
      <c r="W222" s="12"/>
      <c r="X222" s="12"/>
      <c r="Y222" s="12"/>
      <c r="Z222" s="43"/>
      <c r="AA222" s="43"/>
      <c r="AB222" s="12"/>
      <c r="AC222" s="12"/>
      <c r="AD222" s="12"/>
      <c r="AE222" s="12"/>
      <c r="AF222" s="12"/>
      <c r="AG222" s="12"/>
      <c r="AH222" s="12"/>
      <c r="AI222" s="12"/>
      <c r="AJ222" s="42"/>
      <c r="AK222" s="12"/>
      <c r="AL222" s="12"/>
      <c r="AM222" s="12"/>
      <c r="AN222" s="43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45"/>
      <c r="BV222" s="25"/>
      <c r="BW222" s="25"/>
      <c r="BX222" s="25"/>
      <c r="BY222" s="25"/>
      <c r="BZ222" s="25"/>
      <c r="CA222" s="25"/>
      <c r="CB222" s="26"/>
      <c r="CC222" s="26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46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25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30"/>
      <c r="GP222" s="30"/>
      <c r="GQ222" s="12"/>
      <c r="GR222" s="30"/>
      <c r="GS222" s="12"/>
      <c r="GT222" s="12"/>
      <c r="GU222" s="25"/>
      <c r="GV222" s="12"/>
      <c r="GW222" s="12"/>
      <c r="GX222" s="30"/>
      <c r="GY222" s="30"/>
      <c r="GZ222" s="30"/>
      <c r="HA222" s="30"/>
      <c r="HB222" s="30"/>
      <c r="HC222" s="30"/>
      <c r="HD222" s="30"/>
      <c r="HE222" s="30"/>
      <c r="HF222" s="30"/>
      <c r="HG222" s="30"/>
      <c r="HH222" s="30"/>
      <c r="HI222" s="12"/>
      <c r="HJ222" s="12"/>
      <c r="HK222" s="12"/>
      <c r="HL222" s="12"/>
      <c r="HM222" s="12"/>
      <c r="HN222" s="12"/>
    </row>
    <row r="223" ht="13.5" customHeight="1">
      <c r="A223" s="12"/>
      <c r="B223" s="12"/>
      <c r="C223" s="12"/>
      <c r="D223" s="12"/>
      <c r="E223" s="42"/>
      <c r="F223" s="12"/>
      <c r="G223" s="12"/>
      <c r="H223" s="43"/>
      <c r="I223" s="12"/>
      <c r="J223" s="12"/>
      <c r="K223" s="43"/>
      <c r="L223" s="30"/>
      <c r="M223" s="25"/>
      <c r="N223" s="12"/>
      <c r="O223" s="12"/>
      <c r="P223" s="12"/>
      <c r="Q223" s="44"/>
      <c r="R223" s="12"/>
      <c r="S223" s="12"/>
      <c r="T223" s="12"/>
      <c r="U223" s="43"/>
      <c r="V223" s="44"/>
      <c r="W223" s="12"/>
      <c r="X223" s="12"/>
      <c r="Y223" s="12"/>
      <c r="Z223" s="43"/>
      <c r="AA223" s="43"/>
      <c r="AB223" s="12"/>
      <c r="AC223" s="12"/>
      <c r="AD223" s="12"/>
      <c r="AE223" s="12"/>
      <c r="AF223" s="12"/>
      <c r="AG223" s="12"/>
      <c r="AH223" s="12"/>
      <c r="AI223" s="12"/>
      <c r="AJ223" s="42"/>
      <c r="AK223" s="12"/>
      <c r="AL223" s="12"/>
      <c r="AM223" s="12"/>
      <c r="AN223" s="43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45"/>
      <c r="BV223" s="25"/>
      <c r="BW223" s="25"/>
      <c r="BX223" s="25"/>
      <c r="BY223" s="25"/>
      <c r="BZ223" s="25"/>
      <c r="CA223" s="25"/>
      <c r="CB223" s="26"/>
      <c r="CC223" s="26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46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25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30"/>
      <c r="GP223" s="30"/>
      <c r="GQ223" s="12"/>
      <c r="GR223" s="30"/>
      <c r="GS223" s="12"/>
      <c r="GT223" s="12"/>
      <c r="GU223" s="25"/>
      <c r="GV223" s="12"/>
      <c r="GW223" s="12"/>
      <c r="GX223" s="30"/>
      <c r="GY223" s="30"/>
      <c r="GZ223" s="30"/>
      <c r="HA223" s="30"/>
      <c r="HB223" s="30"/>
      <c r="HC223" s="30"/>
      <c r="HD223" s="30"/>
      <c r="HE223" s="30"/>
      <c r="HF223" s="30"/>
      <c r="HG223" s="30"/>
      <c r="HH223" s="30"/>
      <c r="HI223" s="12"/>
      <c r="HJ223" s="12"/>
      <c r="HK223" s="12"/>
      <c r="HL223" s="12"/>
      <c r="HM223" s="12"/>
      <c r="HN223" s="12"/>
    </row>
    <row r="224" ht="13.5" customHeight="1">
      <c r="A224" s="12"/>
      <c r="B224" s="12"/>
      <c r="C224" s="12"/>
      <c r="D224" s="12"/>
      <c r="E224" s="42"/>
      <c r="F224" s="12"/>
      <c r="G224" s="12"/>
      <c r="H224" s="43"/>
      <c r="I224" s="12"/>
      <c r="J224" s="12"/>
      <c r="K224" s="43"/>
      <c r="L224" s="30"/>
      <c r="M224" s="25"/>
      <c r="N224" s="12"/>
      <c r="O224" s="12"/>
      <c r="P224" s="12"/>
      <c r="Q224" s="44"/>
      <c r="R224" s="12"/>
      <c r="S224" s="12"/>
      <c r="T224" s="12"/>
      <c r="U224" s="43"/>
      <c r="V224" s="44"/>
      <c r="W224" s="12"/>
      <c r="X224" s="12"/>
      <c r="Y224" s="12"/>
      <c r="Z224" s="43"/>
      <c r="AA224" s="43"/>
      <c r="AB224" s="12"/>
      <c r="AC224" s="12"/>
      <c r="AD224" s="12"/>
      <c r="AE224" s="12"/>
      <c r="AF224" s="12"/>
      <c r="AG224" s="12"/>
      <c r="AH224" s="12"/>
      <c r="AI224" s="12"/>
      <c r="AJ224" s="42"/>
      <c r="AK224" s="12"/>
      <c r="AL224" s="12"/>
      <c r="AM224" s="12"/>
      <c r="AN224" s="43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45"/>
      <c r="BV224" s="25"/>
      <c r="BW224" s="25"/>
      <c r="BX224" s="25"/>
      <c r="BY224" s="25"/>
      <c r="BZ224" s="25"/>
      <c r="CA224" s="25"/>
      <c r="CB224" s="26"/>
      <c r="CC224" s="26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46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25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30"/>
      <c r="GP224" s="30"/>
      <c r="GQ224" s="12"/>
      <c r="GR224" s="30"/>
      <c r="GS224" s="12"/>
      <c r="GT224" s="12"/>
      <c r="GU224" s="25"/>
      <c r="GV224" s="12"/>
      <c r="GW224" s="12"/>
      <c r="GX224" s="30"/>
      <c r="GY224" s="30"/>
      <c r="GZ224" s="30"/>
      <c r="HA224" s="30"/>
      <c r="HB224" s="30"/>
      <c r="HC224" s="30"/>
      <c r="HD224" s="30"/>
      <c r="HE224" s="30"/>
      <c r="HF224" s="30"/>
      <c r="HG224" s="30"/>
      <c r="HH224" s="30"/>
      <c r="HI224" s="12"/>
      <c r="HJ224" s="12"/>
      <c r="HK224" s="12"/>
      <c r="HL224" s="12"/>
      <c r="HM224" s="12"/>
      <c r="HN224" s="12"/>
    </row>
    <row r="225" ht="13.5" customHeight="1">
      <c r="A225" s="12"/>
      <c r="B225" s="12"/>
      <c r="C225" s="12"/>
      <c r="D225" s="12"/>
      <c r="E225" s="42"/>
      <c r="F225" s="12"/>
      <c r="G225" s="12"/>
      <c r="H225" s="43"/>
      <c r="I225" s="12"/>
      <c r="J225" s="12"/>
      <c r="K225" s="43"/>
      <c r="L225" s="30"/>
      <c r="M225" s="25"/>
      <c r="N225" s="12"/>
      <c r="O225" s="12"/>
      <c r="P225" s="12"/>
      <c r="Q225" s="44"/>
      <c r="R225" s="12"/>
      <c r="S225" s="12"/>
      <c r="T225" s="12"/>
      <c r="U225" s="43"/>
      <c r="V225" s="44"/>
      <c r="W225" s="12"/>
      <c r="X225" s="12"/>
      <c r="Y225" s="12"/>
      <c r="Z225" s="43"/>
      <c r="AA225" s="43"/>
      <c r="AB225" s="12"/>
      <c r="AC225" s="12"/>
      <c r="AD225" s="12"/>
      <c r="AE225" s="12"/>
      <c r="AF225" s="12"/>
      <c r="AG225" s="12"/>
      <c r="AH225" s="12"/>
      <c r="AI225" s="12"/>
      <c r="AJ225" s="42"/>
      <c r="AK225" s="12"/>
      <c r="AL225" s="12"/>
      <c r="AM225" s="12"/>
      <c r="AN225" s="43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45"/>
      <c r="BV225" s="25"/>
      <c r="BW225" s="25"/>
      <c r="BX225" s="25"/>
      <c r="BY225" s="25"/>
      <c r="BZ225" s="25"/>
      <c r="CA225" s="25"/>
      <c r="CB225" s="26"/>
      <c r="CC225" s="26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46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25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30"/>
      <c r="GP225" s="30"/>
      <c r="GQ225" s="12"/>
      <c r="GR225" s="30"/>
      <c r="GS225" s="12"/>
      <c r="GT225" s="12"/>
      <c r="GU225" s="25"/>
      <c r="GV225" s="12"/>
      <c r="GW225" s="12"/>
      <c r="GX225" s="30"/>
      <c r="GY225" s="30"/>
      <c r="GZ225" s="30"/>
      <c r="HA225" s="30"/>
      <c r="HB225" s="30"/>
      <c r="HC225" s="30"/>
      <c r="HD225" s="30"/>
      <c r="HE225" s="30"/>
      <c r="HF225" s="30"/>
      <c r="HG225" s="30"/>
      <c r="HH225" s="30"/>
      <c r="HI225" s="12"/>
      <c r="HJ225" s="12"/>
      <c r="HK225" s="12"/>
      <c r="HL225" s="12"/>
      <c r="HM225" s="12"/>
      <c r="HN225" s="12"/>
    </row>
    <row r="226" ht="13.5" customHeight="1">
      <c r="A226" s="12"/>
      <c r="B226" s="12"/>
      <c r="C226" s="12"/>
      <c r="D226" s="12"/>
      <c r="E226" s="42"/>
      <c r="F226" s="12"/>
      <c r="G226" s="12"/>
      <c r="H226" s="43"/>
      <c r="I226" s="12"/>
      <c r="J226" s="12"/>
      <c r="K226" s="43"/>
      <c r="L226" s="30"/>
      <c r="M226" s="25"/>
      <c r="N226" s="12"/>
      <c r="O226" s="12"/>
      <c r="P226" s="12"/>
      <c r="Q226" s="44"/>
      <c r="R226" s="12"/>
      <c r="S226" s="12"/>
      <c r="T226" s="12"/>
      <c r="U226" s="43"/>
      <c r="V226" s="44"/>
      <c r="W226" s="12"/>
      <c r="X226" s="12"/>
      <c r="Y226" s="12"/>
      <c r="Z226" s="43"/>
      <c r="AA226" s="43"/>
      <c r="AB226" s="12"/>
      <c r="AC226" s="12"/>
      <c r="AD226" s="12"/>
      <c r="AE226" s="12"/>
      <c r="AF226" s="12"/>
      <c r="AG226" s="12"/>
      <c r="AH226" s="12"/>
      <c r="AI226" s="12"/>
      <c r="AJ226" s="42"/>
      <c r="AK226" s="12"/>
      <c r="AL226" s="12"/>
      <c r="AM226" s="12"/>
      <c r="AN226" s="43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45"/>
      <c r="BV226" s="25"/>
      <c r="BW226" s="25"/>
      <c r="BX226" s="25"/>
      <c r="BY226" s="25"/>
      <c r="BZ226" s="25"/>
      <c r="CA226" s="25"/>
      <c r="CB226" s="26"/>
      <c r="CC226" s="26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46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25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30"/>
      <c r="GP226" s="30"/>
      <c r="GQ226" s="12"/>
      <c r="GR226" s="30"/>
      <c r="GS226" s="12"/>
      <c r="GT226" s="12"/>
      <c r="GU226" s="25"/>
      <c r="GV226" s="12"/>
      <c r="GW226" s="12"/>
      <c r="GX226" s="30"/>
      <c r="GY226" s="30"/>
      <c r="GZ226" s="30"/>
      <c r="HA226" s="30"/>
      <c r="HB226" s="30"/>
      <c r="HC226" s="30"/>
      <c r="HD226" s="30"/>
      <c r="HE226" s="30"/>
      <c r="HF226" s="30"/>
      <c r="HG226" s="30"/>
      <c r="HH226" s="30"/>
      <c r="HI226" s="12"/>
      <c r="HJ226" s="12"/>
      <c r="HK226" s="12"/>
      <c r="HL226" s="12"/>
      <c r="HM226" s="12"/>
      <c r="HN226" s="12"/>
    </row>
    <row r="227" ht="13.5" customHeight="1">
      <c r="A227" s="12"/>
      <c r="B227" s="12"/>
      <c r="C227" s="12"/>
      <c r="D227" s="12"/>
      <c r="E227" s="42"/>
      <c r="F227" s="12"/>
      <c r="G227" s="12"/>
      <c r="H227" s="43"/>
      <c r="I227" s="12"/>
      <c r="J227" s="12"/>
      <c r="K227" s="43"/>
      <c r="L227" s="30"/>
      <c r="M227" s="25"/>
      <c r="N227" s="12"/>
      <c r="O227" s="12"/>
      <c r="P227" s="12"/>
      <c r="Q227" s="44"/>
      <c r="R227" s="12"/>
      <c r="S227" s="12"/>
      <c r="T227" s="12"/>
      <c r="U227" s="43"/>
      <c r="V227" s="44"/>
      <c r="W227" s="12"/>
      <c r="X227" s="12"/>
      <c r="Y227" s="12"/>
      <c r="Z227" s="43"/>
      <c r="AA227" s="43"/>
      <c r="AB227" s="12"/>
      <c r="AC227" s="12"/>
      <c r="AD227" s="12"/>
      <c r="AE227" s="12"/>
      <c r="AF227" s="12"/>
      <c r="AG227" s="12"/>
      <c r="AH227" s="12"/>
      <c r="AI227" s="12"/>
      <c r="AJ227" s="42"/>
      <c r="AK227" s="12"/>
      <c r="AL227" s="12"/>
      <c r="AM227" s="12"/>
      <c r="AN227" s="43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45"/>
      <c r="BV227" s="25"/>
      <c r="BW227" s="25"/>
      <c r="BX227" s="25"/>
      <c r="BY227" s="25"/>
      <c r="BZ227" s="25"/>
      <c r="CA227" s="25"/>
      <c r="CB227" s="26"/>
      <c r="CC227" s="26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46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25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30"/>
      <c r="GP227" s="30"/>
      <c r="GQ227" s="12"/>
      <c r="GR227" s="30"/>
      <c r="GS227" s="12"/>
      <c r="GT227" s="12"/>
      <c r="GU227" s="25"/>
      <c r="GV227" s="12"/>
      <c r="GW227" s="12"/>
      <c r="GX227" s="30"/>
      <c r="GY227" s="30"/>
      <c r="GZ227" s="30"/>
      <c r="HA227" s="30"/>
      <c r="HB227" s="30"/>
      <c r="HC227" s="30"/>
      <c r="HD227" s="30"/>
      <c r="HE227" s="30"/>
      <c r="HF227" s="30"/>
      <c r="HG227" s="30"/>
      <c r="HH227" s="30"/>
      <c r="HI227" s="12"/>
      <c r="HJ227" s="12"/>
      <c r="HK227" s="12"/>
      <c r="HL227" s="12"/>
      <c r="HM227" s="12"/>
      <c r="HN227" s="12"/>
    </row>
    <row r="228" ht="13.5" customHeight="1">
      <c r="A228" s="12"/>
      <c r="B228" s="12"/>
      <c r="C228" s="12"/>
      <c r="D228" s="12"/>
      <c r="E228" s="42"/>
      <c r="F228" s="12"/>
      <c r="G228" s="12"/>
      <c r="H228" s="43"/>
      <c r="I228" s="12"/>
      <c r="J228" s="12"/>
      <c r="K228" s="43"/>
      <c r="L228" s="30"/>
      <c r="M228" s="25"/>
      <c r="N228" s="12"/>
      <c r="O228" s="12"/>
      <c r="P228" s="12"/>
      <c r="Q228" s="44"/>
      <c r="R228" s="12"/>
      <c r="S228" s="12"/>
      <c r="T228" s="12"/>
      <c r="U228" s="43"/>
      <c r="V228" s="44"/>
      <c r="W228" s="12"/>
      <c r="X228" s="12"/>
      <c r="Y228" s="12"/>
      <c r="Z228" s="43"/>
      <c r="AA228" s="43"/>
      <c r="AB228" s="12"/>
      <c r="AC228" s="12"/>
      <c r="AD228" s="12"/>
      <c r="AE228" s="12"/>
      <c r="AF228" s="12"/>
      <c r="AG228" s="12"/>
      <c r="AH228" s="12"/>
      <c r="AI228" s="12"/>
      <c r="AJ228" s="42"/>
      <c r="AK228" s="12"/>
      <c r="AL228" s="12"/>
      <c r="AM228" s="12"/>
      <c r="AN228" s="43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45"/>
      <c r="BV228" s="25"/>
      <c r="BW228" s="25"/>
      <c r="BX228" s="25"/>
      <c r="BY228" s="25"/>
      <c r="BZ228" s="25"/>
      <c r="CA228" s="25"/>
      <c r="CB228" s="26"/>
      <c r="CC228" s="26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46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25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30"/>
      <c r="GP228" s="30"/>
      <c r="GQ228" s="12"/>
      <c r="GR228" s="30"/>
      <c r="GS228" s="12"/>
      <c r="GT228" s="12"/>
      <c r="GU228" s="25"/>
      <c r="GV228" s="12"/>
      <c r="GW228" s="12"/>
      <c r="GX228" s="30"/>
      <c r="GY228" s="30"/>
      <c r="GZ228" s="30"/>
      <c r="HA228" s="30"/>
      <c r="HB228" s="30"/>
      <c r="HC228" s="30"/>
      <c r="HD228" s="30"/>
      <c r="HE228" s="30"/>
      <c r="HF228" s="30"/>
      <c r="HG228" s="30"/>
      <c r="HH228" s="30"/>
      <c r="HI228" s="12"/>
      <c r="HJ228" s="12"/>
      <c r="HK228" s="12"/>
      <c r="HL228" s="12"/>
      <c r="HM228" s="12"/>
      <c r="HN228" s="12"/>
    </row>
    <row r="229" ht="13.5" customHeight="1">
      <c r="A229" s="12"/>
      <c r="B229" s="12"/>
      <c r="C229" s="12"/>
      <c r="D229" s="12"/>
      <c r="E229" s="42"/>
      <c r="F229" s="12"/>
      <c r="G229" s="12"/>
      <c r="H229" s="43"/>
      <c r="I229" s="12"/>
      <c r="J229" s="12"/>
      <c r="K229" s="43"/>
      <c r="L229" s="30"/>
      <c r="M229" s="25"/>
      <c r="N229" s="12"/>
      <c r="O229" s="12"/>
      <c r="P229" s="12"/>
      <c r="Q229" s="44"/>
      <c r="R229" s="12"/>
      <c r="S229" s="12"/>
      <c r="T229" s="12"/>
      <c r="U229" s="43"/>
      <c r="V229" s="44"/>
      <c r="W229" s="12"/>
      <c r="X229" s="12"/>
      <c r="Y229" s="12"/>
      <c r="Z229" s="43"/>
      <c r="AA229" s="43"/>
      <c r="AB229" s="12"/>
      <c r="AC229" s="12"/>
      <c r="AD229" s="12"/>
      <c r="AE229" s="12"/>
      <c r="AF229" s="12"/>
      <c r="AG229" s="12"/>
      <c r="AH229" s="12"/>
      <c r="AI229" s="12"/>
      <c r="AJ229" s="42"/>
      <c r="AK229" s="12"/>
      <c r="AL229" s="12"/>
      <c r="AM229" s="12"/>
      <c r="AN229" s="43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45"/>
      <c r="BV229" s="25"/>
      <c r="BW229" s="25"/>
      <c r="BX229" s="25"/>
      <c r="BY229" s="25"/>
      <c r="BZ229" s="25"/>
      <c r="CA229" s="25"/>
      <c r="CB229" s="26"/>
      <c r="CC229" s="26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46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25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30"/>
      <c r="GP229" s="30"/>
      <c r="GQ229" s="12"/>
      <c r="GR229" s="30"/>
      <c r="GS229" s="12"/>
      <c r="GT229" s="12"/>
      <c r="GU229" s="25"/>
      <c r="GV229" s="12"/>
      <c r="GW229" s="12"/>
      <c r="GX229" s="30"/>
      <c r="GY229" s="30"/>
      <c r="GZ229" s="30"/>
      <c r="HA229" s="30"/>
      <c r="HB229" s="30"/>
      <c r="HC229" s="30"/>
      <c r="HD229" s="30"/>
      <c r="HE229" s="30"/>
      <c r="HF229" s="30"/>
      <c r="HG229" s="30"/>
      <c r="HH229" s="30"/>
      <c r="HI229" s="12"/>
      <c r="HJ229" s="12"/>
      <c r="HK229" s="12"/>
      <c r="HL229" s="12"/>
      <c r="HM229" s="12"/>
      <c r="HN229" s="12"/>
    </row>
    <row r="230" ht="13.5" customHeight="1">
      <c r="A230" s="12"/>
      <c r="B230" s="12"/>
      <c r="C230" s="12"/>
      <c r="D230" s="12"/>
      <c r="E230" s="42"/>
      <c r="F230" s="12"/>
      <c r="G230" s="12"/>
      <c r="H230" s="43"/>
      <c r="I230" s="12"/>
      <c r="J230" s="12"/>
      <c r="K230" s="43"/>
      <c r="L230" s="30"/>
      <c r="M230" s="25"/>
      <c r="N230" s="12"/>
      <c r="O230" s="12"/>
      <c r="P230" s="12"/>
      <c r="Q230" s="44"/>
      <c r="R230" s="12"/>
      <c r="S230" s="12"/>
      <c r="T230" s="12"/>
      <c r="U230" s="43"/>
      <c r="V230" s="44"/>
      <c r="W230" s="12"/>
      <c r="X230" s="12"/>
      <c r="Y230" s="12"/>
      <c r="Z230" s="43"/>
      <c r="AA230" s="43"/>
      <c r="AB230" s="12"/>
      <c r="AC230" s="12"/>
      <c r="AD230" s="12"/>
      <c r="AE230" s="12"/>
      <c r="AF230" s="12"/>
      <c r="AG230" s="12"/>
      <c r="AH230" s="12"/>
      <c r="AI230" s="12"/>
      <c r="AJ230" s="42"/>
      <c r="AK230" s="12"/>
      <c r="AL230" s="12"/>
      <c r="AM230" s="12"/>
      <c r="AN230" s="43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45"/>
      <c r="BV230" s="25"/>
      <c r="BW230" s="25"/>
      <c r="BX230" s="25"/>
      <c r="BY230" s="25"/>
      <c r="BZ230" s="25"/>
      <c r="CA230" s="25"/>
      <c r="CB230" s="26"/>
      <c r="CC230" s="26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46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25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30"/>
      <c r="GP230" s="30"/>
      <c r="GQ230" s="12"/>
      <c r="GR230" s="30"/>
      <c r="GS230" s="12"/>
      <c r="GT230" s="12"/>
      <c r="GU230" s="25"/>
      <c r="GV230" s="12"/>
      <c r="GW230" s="12"/>
      <c r="GX230" s="30"/>
      <c r="GY230" s="30"/>
      <c r="GZ230" s="30"/>
      <c r="HA230" s="30"/>
      <c r="HB230" s="30"/>
      <c r="HC230" s="30"/>
      <c r="HD230" s="30"/>
      <c r="HE230" s="30"/>
      <c r="HF230" s="30"/>
      <c r="HG230" s="30"/>
      <c r="HH230" s="30"/>
      <c r="HI230" s="12"/>
      <c r="HJ230" s="12"/>
      <c r="HK230" s="12"/>
      <c r="HL230" s="12"/>
      <c r="HM230" s="12"/>
      <c r="HN230" s="12"/>
    </row>
    <row r="231" ht="13.5" customHeight="1">
      <c r="A231" s="12"/>
      <c r="B231" s="12"/>
      <c r="C231" s="12"/>
      <c r="D231" s="12"/>
      <c r="E231" s="42"/>
      <c r="F231" s="12"/>
      <c r="G231" s="12"/>
      <c r="H231" s="43"/>
      <c r="I231" s="12"/>
      <c r="J231" s="12"/>
      <c r="K231" s="43"/>
      <c r="L231" s="30"/>
      <c r="M231" s="25"/>
      <c r="N231" s="12"/>
      <c r="O231" s="12"/>
      <c r="P231" s="12"/>
      <c r="Q231" s="44"/>
      <c r="R231" s="12"/>
      <c r="S231" s="12"/>
      <c r="T231" s="12"/>
      <c r="U231" s="43"/>
      <c r="V231" s="44"/>
      <c r="W231" s="12"/>
      <c r="X231" s="12"/>
      <c r="Y231" s="12"/>
      <c r="Z231" s="43"/>
      <c r="AA231" s="43"/>
      <c r="AB231" s="12"/>
      <c r="AC231" s="12"/>
      <c r="AD231" s="12"/>
      <c r="AE231" s="12"/>
      <c r="AF231" s="12"/>
      <c r="AG231" s="12"/>
      <c r="AH231" s="12"/>
      <c r="AI231" s="12"/>
      <c r="AJ231" s="42"/>
      <c r="AK231" s="12"/>
      <c r="AL231" s="12"/>
      <c r="AM231" s="12"/>
      <c r="AN231" s="43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45"/>
      <c r="BV231" s="25"/>
      <c r="BW231" s="25"/>
      <c r="BX231" s="25"/>
      <c r="BY231" s="25"/>
      <c r="BZ231" s="25"/>
      <c r="CA231" s="25"/>
      <c r="CB231" s="26"/>
      <c r="CC231" s="26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46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25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30"/>
      <c r="GP231" s="30"/>
      <c r="GQ231" s="12"/>
      <c r="GR231" s="30"/>
      <c r="GS231" s="12"/>
      <c r="GT231" s="12"/>
      <c r="GU231" s="25"/>
      <c r="GV231" s="12"/>
      <c r="GW231" s="12"/>
      <c r="GX231" s="30"/>
      <c r="GY231" s="30"/>
      <c r="GZ231" s="30"/>
      <c r="HA231" s="30"/>
      <c r="HB231" s="30"/>
      <c r="HC231" s="30"/>
      <c r="HD231" s="30"/>
      <c r="HE231" s="30"/>
      <c r="HF231" s="30"/>
      <c r="HG231" s="30"/>
      <c r="HH231" s="30"/>
      <c r="HI231" s="12"/>
      <c r="HJ231" s="12"/>
      <c r="HK231" s="12"/>
      <c r="HL231" s="12"/>
      <c r="HM231" s="12"/>
      <c r="HN231" s="12"/>
    </row>
    <row r="232" ht="13.5" customHeight="1">
      <c r="A232" s="12"/>
      <c r="B232" s="12"/>
      <c r="C232" s="12"/>
      <c r="D232" s="12"/>
      <c r="E232" s="42"/>
      <c r="F232" s="12"/>
      <c r="G232" s="12"/>
      <c r="H232" s="43"/>
      <c r="I232" s="12"/>
      <c r="J232" s="12"/>
      <c r="K232" s="43"/>
      <c r="L232" s="30"/>
      <c r="M232" s="25"/>
      <c r="N232" s="12"/>
      <c r="O232" s="12"/>
      <c r="P232" s="12"/>
      <c r="Q232" s="44"/>
      <c r="R232" s="12"/>
      <c r="S232" s="12"/>
      <c r="T232" s="12"/>
      <c r="U232" s="43"/>
      <c r="V232" s="44"/>
      <c r="W232" s="12"/>
      <c r="X232" s="12"/>
      <c r="Y232" s="12"/>
      <c r="Z232" s="43"/>
      <c r="AA232" s="43"/>
      <c r="AB232" s="12"/>
      <c r="AC232" s="12"/>
      <c r="AD232" s="12"/>
      <c r="AE232" s="12"/>
      <c r="AF232" s="12"/>
      <c r="AG232" s="12"/>
      <c r="AH232" s="12"/>
      <c r="AI232" s="12"/>
      <c r="AJ232" s="42"/>
      <c r="AK232" s="12"/>
      <c r="AL232" s="12"/>
      <c r="AM232" s="12"/>
      <c r="AN232" s="43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45"/>
      <c r="BV232" s="25"/>
      <c r="BW232" s="25"/>
      <c r="BX232" s="25"/>
      <c r="BY232" s="25"/>
      <c r="BZ232" s="25"/>
      <c r="CA232" s="25"/>
      <c r="CB232" s="26"/>
      <c r="CC232" s="26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46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25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30"/>
      <c r="GP232" s="30"/>
      <c r="GQ232" s="12"/>
      <c r="GR232" s="30"/>
      <c r="GS232" s="12"/>
      <c r="GT232" s="12"/>
      <c r="GU232" s="25"/>
      <c r="GV232" s="12"/>
      <c r="GW232" s="12"/>
      <c r="GX232" s="30"/>
      <c r="GY232" s="30"/>
      <c r="GZ232" s="30"/>
      <c r="HA232" s="30"/>
      <c r="HB232" s="30"/>
      <c r="HC232" s="30"/>
      <c r="HD232" s="30"/>
      <c r="HE232" s="30"/>
      <c r="HF232" s="30"/>
      <c r="HG232" s="30"/>
      <c r="HH232" s="30"/>
      <c r="HI232" s="12"/>
      <c r="HJ232" s="12"/>
      <c r="HK232" s="12"/>
      <c r="HL232" s="12"/>
      <c r="HM232" s="12"/>
      <c r="HN232" s="12"/>
    </row>
    <row r="233" ht="13.5" customHeight="1">
      <c r="A233" s="12"/>
      <c r="B233" s="12"/>
      <c r="C233" s="12"/>
      <c r="D233" s="12"/>
      <c r="E233" s="42"/>
      <c r="F233" s="12"/>
      <c r="G233" s="12"/>
      <c r="H233" s="43"/>
      <c r="I233" s="12"/>
      <c r="J233" s="12"/>
      <c r="K233" s="43"/>
      <c r="L233" s="30"/>
      <c r="M233" s="25"/>
      <c r="N233" s="12"/>
      <c r="O233" s="12"/>
      <c r="P233" s="12"/>
      <c r="Q233" s="44"/>
      <c r="R233" s="12"/>
      <c r="S233" s="12"/>
      <c r="T233" s="12"/>
      <c r="U233" s="43"/>
      <c r="V233" s="44"/>
      <c r="W233" s="12"/>
      <c r="X233" s="12"/>
      <c r="Y233" s="12"/>
      <c r="Z233" s="43"/>
      <c r="AA233" s="43"/>
      <c r="AB233" s="12"/>
      <c r="AC233" s="12"/>
      <c r="AD233" s="12"/>
      <c r="AE233" s="12"/>
      <c r="AF233" s="12"/>
      <c r="AG233" s="12"/>
      <c r="AH233" s="12"/>
      <c r="AI233" s="12"/>
      <c r="AJ233" s="42"/>
      <c r="AK233" s="12"/>
      <c r="AL233" s="12"/>
      <c r="AM233" s="12"/>
      <c r="AN233" s="43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45"/>
      <c r="BV233" s="25"/>
      <c r="BW233" s="25"/>
      <c r="BX233" s="25"/>
      <c r="BY233" s="25"/>
      <c r="BZ233" s="25"/>
      <c r="CA233" s="25"/>
      <c r="CB233" s="26"/>
      <c r="CC233" s="26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46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25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30"/>
      <c r="GP233" s="30"/>
      <c r="GQ233" s="12"/>
      <c r="GR233" s="30"/>
      <c r="GS233" s="12"/>
      <c r="GT233" s="12"/>
      <c r="GU233" s="25"/>
      <c r="GV233" s="12"/>
      <c r="GW233" s="12"/>
      <c r="GX233" s="30"/>
      <c r="GY233" s="30"/>
      <c r="GZ233" s="30"/>
      <c r="HA233" s="30"/>
      <c r="HB233" s="30"/>
      <c r="HC233" s="30"/>
      <c r="HD233" s="30"/>
      <c r="HE233" s="30"/>
      <c r="HF233" s="30"/>
      <c r="HG233" s="30"/>
      <c r="HH233" s="30"/>
      <c r="HI233" s="12"/>
      <c r="HJ233" s="12"/>
      <c r="HK233" s="12"/>
      <c r="HL233" s="12"/>
      <c r="HM233" s="12"/>
      <c r="HN233" s="12"/>
    </row>
    <row r="234" ht="13.5" customHeight="1">
      <c r="A234" s="12"/>
      <c r="B234" s="12"/>
      <c r="C234" s="12"/>
      <c r="D234" s="12"/>
      <c r="E234" s="42"/>
      <c r="F234" s="12"/>
      <c r="G234" s="12"/>
      <c r="H234" s="43"/>
      <c r="I234" s="12"/>
      <c r="J234" s="12"/>
      <c r="K234" s="43"/>
      <c r="L234" s="30"/>
      <c r="M234" s="25"/>
      <c r="N234" s="12"/>
      <c r="O234" s="12"/>
      <c r="P234" s="12"/>
      <c r="Q234" s="44"/>
      <c r="R234" s="12"/>
      <c r="S234" s="12"/>
      <c r="T234" s="12"/>
      <c r="U234" s="43"/>
      <c r="V234" s="44"/>
      <c r="W234" s="12"/>
      <c r="X234" s="12"/>
      <c r="Y234" s="12"/>
      <c r="Z234" s="43"/>
      <c r="AA234" s="43"/>
      <c r="AB234" s="12"/>
      <c r="AC234" s="12"/>
      <c r="AD234" s="12"/>
      <c r="AE234" s="12"/>
      <c r="AF234" s="12"/>
      <c r="AG234" s="12"/>
      <c r="AH234" s="12"/>
      <c r="AI234" s="12"/>
      <c r="AJ234" s="42"/>
      <c r="AK234" s="12"/>
      <c r="AL234" s="12"/>
      <c r="AM234" s="12"/>
      <c r="AN234" s="43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45"/>
      <c r="BV234" s="25"/>
      <c r="BW234" s="25"/>
      <c r="BX234" s="25"/>
      <c r="BY234" s="25"/>
      <c r="BZ234" s="25"/>
      <c r="CA234" s="25"/>
      <c r="CB234" s="26"/>
      <c r="CC234" s="26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46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25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30"/>
      <c r="GP234" s="30"/>
      <c r="GQ234" s="12"/>
      <c r="GR234" s="30"/>
      <c r="GS234" s="12"/>
      <c r="GT234" s="12"/>
      <c r="GU234" s="25"/>
      <c r="GV234" s="12"/>
      <c r="GW234" s="12"/>
      <c r="GX234" s="30"/>
      <c r="GY234" s="30"/>
      <c r="GZ234" s="30"/>
      <c r="HA234" s="30"/>
      <c r="HB234" s="30"/>
      <c r="HC234" s="30"/>
      <c r="HD234" s="30"/>
      <c r="HE234" s="30"/>
      <c r="HF234" s="30"/>
      <c r="HG234" s="30"/>
      <c r="HH234" s="30"/>
      <c r="HI234" s="12"/>
      <c r="HJ234" s="12"/>
      <c r="HK234" s="12"/>
      <c r="HL234" s="12"/>
      <c r="HM234" s="12"/>
      <c r="HN234" s="12"/>
    </row>
    <row r="235" ht="13.5" customHeight="1">
      <c r="A235" s="12"/>
      <c r="B235" s="12"/>
      <c r="C235" s="12"/>
      <c r="D235" s="12"/>
      <c r="E235" s="42"/>
      <c r="F235" s="12"/>
      <c r="G235" s="12"/>
      <c r="H235" s="43"/>
      <c r="I235" s="12"/>
      <c r="J235" s="12"/>
      <c r="K235" s="43"/>
      <c r="L235" s="30"/>
      <c r="M235" s="25"/>
      <c r="N235" s="12"/>
      <c r="O235" s="12"/>
      <c r="P235" s="12"/>
      <c r="Q235" s="44"/>
      <c r="R235" s="12"/>
      <c r="S235" s="12"/>
      <c r="T235" s="12"/>
      <c r="U235" s="43"/>
      <c r="V235" s="44"/>
      <c r="W235" s="12"/>
      <c r="X235" s="12"/>
      <c r="Y235" s="12"/>
      <c r="Z235" s="43"/>
      <c r="AA235" s="43"/>
      <c r="AB235" s="12"/>
      <c r="AC235" s="12"/>
      <c r="AD235" s="12"/>
      <c r="AE235" s="12"/>
      <c r="AF235" s="12"/>
      <c r="AG235" s="12"/>
      <c r="AH235" s="12"/>
      <c r="AI235" s="12"/>
      <c r="AJ235" s="42"/>
      <c r="AK235" s="12"/>
      <c r="AL235" s="12"/>
      <c r="AM235" s="12"/>
      <c r="AN235" s="43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45"/>
      <c r="BV235" s="25"/>
      <c r="BW235" s="25"/>
      <c r="BX235" s="25"/>
      <c r="BY235" s="25"/>
      <c r="BZ235" s="25"/>
      <c r="CA235" s="25"/>
      <c r="CB235" s="26"/>
      <c r="CC235" s="26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46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25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30"/>
      <c r="GP235" s="30"/>
      <c r="GQ235" s="12"/>
      <c r="GR235" s="30"/>
      <c r="GS235" s="12"/>
      <c r="GT235" s="12"/>
      <c r="GU235" s="25"/>
      <c r="GV235" s="12"/>
      <c r="GW235" s="12"/>
      <c r="GX235" s="30"/>
      <c r="GY235" s="30"/>
      <c r="GZ235" s="30"/>
      <c r="HA235" s="30"/>
      <c r="HB235" s="30"/>
      <c r="HC235" s="30"/>
      <c r="HD235" s="30"/>
      <c r="HE235" s="30"/>
      <c r="HF235" s="30"/>
      <c r="HG235" s="30"/>
      <c r="HH235" s="30"/>
      <c r="HI235" s="12"/>
      <c r="HJ235" s="12"/>
      <c r="HK235" s="12"/>
      <c r="HL235" s="12"/>
      <c r="HM235" s="12"/>
      <c r="HN235" s="12"/>
    </row>
    <row r="236" ht="13.5" customHeight="1">
      <c r="A236" s="12"/>
      <c r="B236" s="12"/>
      <c r="C236" s="12"/>
      <c r="D236" s="12"/>
      <c r="E236" s="42"/>
      <c r="F236" s="12"/>
      <c r="G236" s="12"/>
      <c r="H236" s="43"/>
      <c r="I236" s="12"/>
      <c r="J236" s="12"/>
      <c r="K236" s="43"/>
      <c r="L236" s="30"/>
      <c r="M236" s="25"/>
      <c r="N236" s="12"/>
      <c r="O236" s="12"/>
      <c r="P236" s="12"/>
      <c r="Q236" s="44"/>
      <c r="R236" s="12"/>
      <c r="S236" s="12"/>
      <c r="T236" s="12"/>
      <c r="U236" s="43"/>
      <c r="V236" s="44"/>
      <c r="W236" s="12"/>
      <c r="X236" s="12"/>
      <c r="Y236" s="12"/>
      <c r="Z236" s="43"/>
      <c r="AA236" s="43"/>
      <c r="AB236" s="12"/>
      <c r="AC236" s="12"/>
      <c r="AD236" s="12"/>
      <c r="AE236" s="12"/>
      <c r="AF236" s="12"/>
      <c r="AG236" s="12"/>
      <c r="AH236" s="12"/>
      <c r="AI236" s="12"/>
      <c r="AJ236" s="42"/>
      <c r="AK236" s="12"/>
      <c r="AL236" s="12"/>
      <c r="AM236" s="12"/>
      <c r="AN236" s="43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45"/>
      <c r="BV236" s="25"/>
      <c r="BW236" s="25"/>
      <c r="BX236" s="25"/>
      <c r="BY236" s="25"/>
      <c r="BZ236" s="25"/>
      <c r="CA236" s="25"/>
      <c r="CB236" s="26"/>
      <c r="CC236" s="26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46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25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30"/>
      <c r="GP236" s="30"/>
      <c r="GQ236" s="12"/>
      <c r="GR236" s="30"/>
      <c r="GS236" s="12"/>
      <c r="GT236" s="12"/>
      <c r="GU236" s="25"/>
      <c r="GV236" s="12"/>
      <c r="GW236" s="12"/>
      <c r="GX236" s="30"/>
      <c r="GY236" s="30"/>
      <c r="GZ236" s="30"/>
      <c r="HA236" s="30"/>
      <c r="HB236" s="30"/>
      <c r="HC236" s="30"/>
      <c r="HD236" s="30"/>
      <c r="HE236" s="30"/>
      <c r="HF236" s="30"/>
      <c r="HG236" s="30"/>
      <c r="HH236" s="30"/>
      <c r="HI236" s="12"/>
      <c r="HJ236" s="12"/>
      <c r="HK236" s="12"/>
      <c r="HL236" s="12"/>
      <c r="HM236" s="12"/>
      <c r="HN236" s="12"/>
    </row>
    <row r="237" ht="13.5" customHeight="1">
      <c r="A237" s="12"/>
      <c r="B237" s="12"/>
      <c r="C237" s="12"/>
      <c r="D237" s="12"/>
      <c r="E237" s="42"/>
      <c r="F237" s="12"/>
      <c r="G237" s="12"/>
      <c r="H237" s="43"/>
      <c r="I237" s="12"/>
      <c r="J237" s="12"/>
      <c r="K237" s="43"/>
      <c r="L237" s="30"/>
      <c r="M237" s="25"/>
      <c r="N237" s="12"/>
      <c r="O237" s="12"/>
      <c r="P237" s="12"/>
      <c r="Q237" s="44"/>
      <c r="R237" s="12"/>
      <c r="S237" s="12"/>
      <c r="T237" s="12"/>
      <c r="U237" s="43"/>
      <c r="V237" s="44"/>
      <c r="W237" s="12"/>
      <c r="X237" s="12"/>
      <c r="Y237" s="12"/>
      <c r="Z237" s="43"/>
      <c r="AA237" s="43"/>
      <c r="AB237" s="12"/>
      <c r="AC237" s="12"/>
      <c r="AD237" s="12"/>
      <c r="AE237" s="12"/>
      <c r="AF237" s="12"/>
      <c r="AG237" s="12"/>
      <c r="AH237" s="12"/>
      <c r="AI237" s="12"/>
      <c r="AJ237" s="42"/>
      <c r="AK237" s="12"/>
      <c r="AL237" s="12"/>
      <c r="AM237" s="12"/>
      <c r="AN237" s="43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45"/>
      <c r="BV237" s="25"/>
      <c r="BW237" s="25"/>
      <c r="BX237" s="25"/>
      <c r="BY237" s="25"/>
      <c r="BZ237" s="25"/>
      <c r="CA237" s="25"/>
      <c r="CB237" s="26"/>
      <c r="CC237" s="26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46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25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30"/>
      <c r="GP237" s="30"/>
      <c r="GQ237" s="12"/>
      <c r="GR237" s="30"/>
      <c r="GS237" s="12"/>
      <c r="GT237" s="12"/>
      <c r="GU237" s="25"/>
      <c r="GV237" s="12"/>
      <c r="GW237" s="12"/>
      <c r="GX237" s="30"/>
      <c r="GY237" s="30"/>
      <c r="GZ237" s="30"/>
      <c r="HA237" s="30"/>
      <c r="HB237" s="30"/>
      <c r="HC237" s="30"/>
      <c r="HD237" s="30"/>
      <c r="HE237" s="30"/>
      <c r="HF237" s="30"/>
      <c r="HG237" s="30"/>
      <c r="HH237" s="30"/>
      <c r="HI237" s="12"/>
      <c r="HJ237" s="12"/>
      <c r="HK237" s="12"/>
      <c r="HL237" s="12"/>
      <c r="HM237" s="12"/>
      <c r="HN237" s="12"/>
    </row>
    <row r="238" ht="13.5" customHeight="1">
      <c r="A238" s="12"/>
      <c r="B238" s="12"/>
      <c r="C238" s="12"/>
      <c r="D238" s="12"/>
      <c r="E238" s="42"/>
      <c r="F238" s="12"/>
      <c r="G238" s="12"/>
      <c r="H238" s="43"/>
      <c r="I238" s="12"/>
      <c r="J238" s="12"/>
      <c r="K238" s="43"/>
      <c r="L238" s="30"/>
      <c r="M238" s="25"/>
      <c r="N238" s="12"/>
      <c r="O238" s="12"/>
      <c r="P238" s="12"/>
      <c r="Q238" s="44"/>
      <c r="R238" s="12"/>
      <c r="S238" s="12"/>
      <c r="T238" s="12"/>
      <c r="U238" s="43"/>
      <c r="V238" s="44"/>
      <c r="W238" s="12"/>
      <c r="X238" s="12"/>
      <c r="Y238" s="12"/>
      <c r="Z238" s="43"/>
      <c r="AA238" s="43"/>
      <c r="AB238" s="12"/>
      <c r="AC238" s="12"/>
      <c r="AD238" s="12"/>
      <c r="AE238" s="12"/>
      <c r="AF238" s="12"/>
      <c r="AG238" s="12"/>
      <c r="AH238" s="12"/>
      <c r="AI238" s="12"/>
      <c r="AJ238" s="42"/>
      <c r="AK238" s="12"/>
      <c r="AL238" s="12"/>
      <c r="AM238" s="12"/>
      <c r="AN238" s="43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45"/>
      <c r="BV238" s="25"/>
      <c r="BW238" s="25"/>
      <c r="BX238" s="25"/>
      <c r="BY238" s="25"/>
      <c r="BZ238" s="25"/>
      <c r="CA238" s="25"/>
      <c r="CB238" s="26"/>
      <c r="CC238" s="26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46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25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30"/>
      <c r="GP238" s="30"/>
      <c r="GQ238" s="12"/>
      <c r="GR238" s="30"/>
      <c r="GS238" s="12"/>
      <c r="GT238" s="12"/>
      <c r="GU238" s="25"/>
      <c r="GV238" s="12"/>
      <c r="GW238" s="12"/>
      <c r="GX238" s="30"/>
      <c r="GY238" s="30"/>
      <c r="GZ238" s="30"/>
      <c r="HA238" s="30"/>
      <c r="HB238" s="30"/>
      <c r="HC238" s="30"/>
      <c r="HD238" s="30"/>
      <c r="HE238" s="30"/>
      <c r="HF238" s="30"/>
      <c r="HG238" s="30"/>
      <c r="HH238" s="30"/>
      <c r="HI238" s="12"/>
      <c r="HJ238" s="12"/>
      <c r="HK238" s="12"/>
      <c r="HL238" s="12"/>
      <c r="HM238" s="12"/>
      <c r="HN238" s="12"/>
    </row>
    <row r="239" ht="13.5" customHeight="1">
      <c r="A239" s="12"/>
      <c r="B239" s="12"/>
      <c r="C239" s="12"/>
      <c r="D239" s="12"/>
      <c r="E239" s="42"/>
      <c r="F239" s="12"/>
      <c r="G239" s="12"/>
      <c r="H239" s="43"/>
      <c r="I239" s="12"/>
      <c r="J239" s="12"/>
      <c r="K239" s="43"/>
      <c r="L239" s="30"/>
      <c r="M239" s="25"/>
      <c r="N239" s="12"/>
      <c r="O239" s="12"/>
      <c r="P239" s="12"/>
      <c r="Q239" s="44"/>
      <c r="R239" s="12"/>
      <c r="S239" s="12"/>
      <c r="T239" s="12"/>
      <c r="U239" s="43"/>
      <c r="V239" s="44"/>
      <c r="W239" s="12"/>
      <c r="X239" s="12"/>
      <c r="Y239" s="12"/>
      <c r="Z239" s="43"/>
      <c r="AA239" s="43"/>
      <c r="AB239" s="12"/>
      <c r="AC239" s="12"/>
      <c r="AD239" s="12"/>
      <c r="AE239" s="12"/>
      <c r="AF239" s="12"/>
      <c r="AG239" s="12"/>
      <c r="AH239" s="12"/>
      <c r="AI239" s="12"/>
      <c r="AJ239" s="42"/>
      <c r="AK239" s="12"/>
      <c r="AL239" s="12"/>
      <c r="AM239" s="12"/>
      <c r="AN239" s="43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45"/>
      <c r="BV239" s="25"/>
      <c r="BW239" s="25"/>
      <c r="BX239" s="25"/>
      <c r="BY239" s="25"/>
      <c r="BZ239" s="25"/>
      <c r="CA239" s="25"/>
      <c r="CB239" s="26"/>
      <c r="CC239" s="26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46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25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30"/>
      <c r="GP239" s="30"/>
      <c r="GQ239" s="12"/>
      <c r="GR239" s="30"/>
      <c r="GS239" s="12"/>
      <c r="GT239" s="12"/>
      <c r="GU239" s="25"/>
      <c r="GV239" s="12"/>
      <c r="GW239" s="12"/>
      <c r="GX239" s="30"/>
      <c r="GY239" s="30"/>
      <c r="GZ239" s="30"/>
      <c r="HA239" s="30"/>
      <c r="HB239" s="30"/>
      <c r="HC239" s="30"/>
      <c r="HD239" s="30"/>
      <c r="HE239" s="30"/>
      <c r="HF239" s="30"/>
      <c r="HG239" s="30"/>
      <c r="HH239" s="30"/>
      <c r="HI239" s="12"/>
      <c r="HJ239" s="12"/>
      <c r="HK239" s="12"/>
      <c r="HL239" s="12"/>
      <c r="HM239" s="12"/>
      <c r="HN239" s="12"/>
    </row>
    <row r="240" ht="13.5" customHeight="1">
      <c r="A240" s="12"/>
      <c r="B240" s="12"/>
      <c r="C240" s="12"/>
      <c r="D240" s="12"/>
      <c r="E240" s="42"/>
      <c r="F240" s="12"/>
      <c r="G240" s="12"/>
      <c r="H240" s="43"/>
      <c r="I240" s="12"/>
      <c r="J240" s="12"/>
      <c r="K240" s="43"/>
      <c r="L240" s="30"/>
      <c r="M240" s="25"/>
      <c r="N240" s="12"/>
      <c r="O240" s="12"/>
      <c r="P240" s="12"/>
      <c r="Q240" s="44"/>
      <c r="R240" s="12"/>
      <c r="S240" s="12"/>
      <c r="T240" s="12"/>
      <c r="U240" s="43"/>
      <c r="V240" s="44"/>
      <c r="W240" s="12"/>
      <c r="X240" s="12"/>
      <c r="Y240" s="12"/>
      <c r="Z240" s="43"/>
      <c r="AA240" s="43"/>
      <c r="AB240" s="12"/>
      <c r="AC240" s="12"/>
      <c r="AD240" s="12"/>
      <c r="AE240" s="12"/>
      <c r="AF240" s="12"/>
      <c r="AG240" s="12"/>
      <c r="AH240" s="12"/>
      <c r="AI240" s="12"/>
      <c r="AJ240" s="42"/>
      <c r="AK240" s="12"/>
      <c r="AL240" s="12"/>
      <c r="AM240" s="12"/>
      <c r="AN240" s="43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45"/>
      <c r="BV240" s="25"/>
      <c r="BW240" s="25"/>
      <c r="BX240" s="25"/>
      <c r="BY240" s="25"/>
      <c r="BZ240" s="25"/>
      <c r="CA240" s="25"/>
      <c r="CB240" s="26"/>
      <c r="CC240" s="26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46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25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30"/>
      <c r="GP240" s="30"/>
      <c r="GQ240" s="12"/>
      <c r="GR240" s="30"/>
      <c r="GS240" s="12"/>
      <c r="GT240" s="12"/>
      <c r="GU240" s="25"/>
      <c r="GV240" s="12"/>
      <c r="GW240" s="12"/>
      <c r="GX240" s="30"/>
      <c r="GY240" s="30"/>
      <c r="GZ240" s="30"/>
      <c r="HA240" s="30"/>
      <c r="HB240" s="30"/>
      <c r="HC240" s="30"/>
      <c r="HD240" s="30"/>
      <c r="HE240" s="30"/>
      <c r="HF240" s="30"/>
      <c r="HG240" s="30"/>
      <c r="HH240" s="30"/>
      <c r="HI240" s="12"/>
      <c r="HJ240" s="12"/>
      <c r="HK240" s="12"/>
      <c r="HL240" s="12"/>
      <c r="HM240" s="12"/>
      <c r="HN240" s="12"/>
    </row>
    <row r="241" ht="13.5" customHeight="1">
      <c r="A241" s="12"/>
      <c r="B241" s="12"/>
      <c r="C241" s="12"/>
      <c r="D241" s="12"/>
      <c r="E241" s="42"/>
      <c r="F241" s="12"/>
      <c r="G241" s="12"/>
      <c r="H241" s="43"/>
      <c r="I241" s="12"/>
      <c r="J241" s="12"/>
      <c r="K241" s="43"/>
      <c r="L241" s="30"/>
      <c r="M241" s="25"/>
      <c r="N241" s="12"/>
      <c r="O241" s="12"/>
      <c r="P241" s="12"/>
      <c r="Q241" s="44"/>
      <c r="R241" s="12"/>
      <c r="S241" s="12"/>
      <c r="T241" s="12"/>
      <c r="U241" s="43"/>
      <c r="V241" s="44"/>
      <c r="W241" s="12"/>
      <c r="X241" s="12"/>
      <c r="Y241" s="12"/>
      <c r="Z241" s="43"/>
      <c r="AA241" s="43"/>
      <c r="AB241" s="12"/>
      <c r="AC241" s="12"/>
      <c r="AD241" s="12"/>
      <c r="AE241" s="12"/>
      <c r="AF241" s="12"/>
      <c r="AG241" s="12"/>
      <c r="AH241" s="12"/>
      <c r="AI241" s="12"/>
      <c r="AJ241" s="42"/>
      <c r="AK241" s="12"/>
      <c r="AL241" s="12"/>
      <c r="AM241" s="12"/>
      <c r="AN241" s="43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45"/>
      <c r="BV241" s="25"/>
      <c r="BW241" s="25"/>
      <c r="BX241" s="25"/>
      <c r="BY241" s="25"/>
      <c r="BZ241" s="25"/>
      <c r="CA241" s="25"/>
      <c r="CB241" s="26"/>
      <c r="CC241" s="26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46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25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30"/>
      <c r="GP241" s="30"/>
      <c r="GQ241" s="12"/>
      <c r="GR241" s="30"/>
      <c r="GS241" s="12"/>
      <c r="GT241" s="12"/>
      <c r="GU241" s="25"/>
      <c r="GV241" s="12"/>
      <c r="GW241" s="12"/>
      <c r="GX241" s="30"/>
      <c r="GY241" s="30"/>
      <c r="GZ241" s="30"/>
      <c r="HA241" s="30"/>
      <c r="HB241" s="30"/>
      <c r="HC241" s="30"/>
      <c r="HD241" s="30"/>
      <c r="HE241" s="30"/>
      <c r="HF241" s="30"/>
      <c r="HG241" s="30"/>
      <c r="HH241" s="30"/>
      <c r="HI241" s="12"/>
      <c r="HJ241" s="12"/>
      <c r="HK241" s="12"/>
      <c r="HL241" s="12"/>
      <c r="HM241" s="12"/>
      <c r="HN241" s="12"/>
    </row>
    <row r="242" ht="13.5" customHeight="1">
      <c r="A242" s="12"/>
      <c r="B242" s="12"/>
      <c r="C242" s="12"/>
      <c r="D242" s="12"/>
      <c r="E242" s="42"/>
      <c r="F242" s="12"/>
      <c r="G242" s="12"/>
      <c r="H242" s="43"/>
      <c r="I242" s="12"/>
      <c r="J242" s="12"/>
      <c r="K242" s="43"/>
      <c r="L242" s="30"/>
      <c r="M242" s="25"/>
      <c r="N242" s="12"/>
      <c r="O242" s="12"/>
      <c r="P242" s="12"/>
      <c r="Q242" s="44"/>
      <c r="R242" s="12"/>
      <c r="S242" s="12"/>
      <c r="T242" s="12"/>
      <c r="U242" s="43"/>
      <c r="V242" s="44"/>
      <c r="W242" s="12"/>
      <c r="X242" s="12"/>
      <c r="Y242" s="12"/>
      <c r="Z242" s="43"/>
      <c r="AA242" s="43"/>
      <c r="AB242" s="12"/>
      <c r="AC242" s="12"/>
      <c r="AD242" s="12"/>
      <c r="AE242" s="12"/>
      <c r="AF242" s="12"/>
      <c r="AG242" s="12"/>
      <c r="AH242" s="12"/>
      <c r="AI242" s="12"/>
      <c r="AJ242" s="42"/>
      <c r="AK242" s="12"/>
      <c r="AL242" s="12"/>
      <c r="AM242" s="12"/>
      <c r="AN242" s="43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45"/>
      <c r="BV242" s="25"/>
      <c r="BW242" s="25"/>
      <c r="BX242" s="25"/>
      <c r="BY242" s="25"/>
      <c r="BZ242" s="25"/>
      <c r="CA242" s="25"/>
      <c r="CB242" s="26"/>
      <c r="CC242" s="26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46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25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30"/>
      <c r="GP242" s="30"/>
      <c r="GQ242" s="12"/>
      <c r="GR242" s="30"/>
      <c r="GS242" s="12"/>
      <c r="GT242" s="12"/>
      <c r="GU242" s="25"/>
      <c r="GV242" s="12"/>
      <c r="GW242" s="12"/>
      <c r="GX242" s="30"/>
      <c r="GY242" s="30"/>
      <c r="GZ242" s="30"/>
      <c r="HA242" s="30"/>
      <c r="HB242" s="30"/>
      <c r="HC242" s="30"/>
      <c r="HD242" s="30"/>
      <c r="HE242" s="30"/>
      <c r="HF242" s="30"/>
      <c r="HG242" s="30"/>
      <c r="HH242" s="30"/>
      <c r="HI242" s="12"/>
      <c r="HJ242" s="12"/>
      <c r="HK242" s="12"/>
      <c r="HL242" s="12"/>
      <c r="HM242" s="12"/>
      <c r="HN242" s="12"/>
    </row>
    <row r="243" ht="13.5" customHeight="1">
      <c r="A243" s="12"/>
      <c r="B243" s="12"/>
      <c r="C243" s="12"/>
      <c r="D243" s="12"/>
      <c r="E243" s="42"/>
      <c r="F243" s="12"/>
      <c r="G243" s="12"/>
      <c r="H243" s="43"/>
      <c r="I243" s="12"/>
      <c r="J243" s="12"/>
      <c r="K243" s="43"/>
      <c r="L243" s="30"/>
      <c r="M243" s="25"/>
      <c r="N243" s="12"/>
      <c r="O243" s="12"/>
      <c r="P243" s="12"/>
      <c r="Q243" s="44"/>
      <c r="R243" s="12"/>
      <c r="S243" s="12"/>
      <c r="T243" s="12"/>
      <c r="U243" s="43"/>
      <c r="V243" s="44"/>
      <c r="W243" s="12"/>
      <c r="X243" s="12"/>
      <c r="Y243" s="12"/>
      <c r="Z243" s="43"/>
      <c r="AA243" s="43"/>
      <c r="AB243" s="12"/>
      <c r="AC243" s="12"/>
      <c r="AD243" s="12"/>
      <c r="AE243" s="12"/>
      <c r="AF243" s="12"/>
      <c r="AG243" s="12"/>
      <c r="AH243" s="12"/>
      <c r="AI243" s="12"/>
      <c r="AJ243" s="42"/>
      <c r="AK243" s="12"/>
      <c r="AL243" s="12"/>
      <c r="AM243" s="12"/>
      <c r="AN243" s="43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45"/>
      <c r="BV243" s="25"/>
      <c r="BW243" s="25"/>
      <c r="BX243" s="25"/>
      <c r="BY243" s="25"/>
      <c r="BZ243" s="25"/>
      <c r="CA243" s="25"/>
      <c r="CB243" s="26"/>
      <c r="CC243" s="26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46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25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30"/>
      <c r="GP243" s="30"/>
      <c r="GQ243" s="12"/>
      <c r="GR243" s="30"/>
      <c r="GS243" s="12"/>
      <c r="GT243" s="12"/>
      <c r="GU243" s="25"/>
      <c r="GV243" s="12"/>
      <c r="GW243" s="12"/>
      <c r="GX243" s="30"/>
      <c r="GY243" s="30"/>
      <c r="GZ243" s="30"/>
      <c r="HA243" s="30"/>
      <c r="HB243" s="30"/>
      <c r="HC243" s="30"/>
      <c r="HD243" s="30"/>
      <c r="HE243" s="30"/>
      <c r="HF243" s="30"/>
      <c r="HG243" s="30"/>
      <c r="HH243" s="30"/>
      <c r="HI243" s="12"/>
      <c r="HJ243" s="12"/>
      <c r="HK243" s="12"/>
      <c r="HL243" s="12"/>
      <c r="HM243" s="12"/>
      <c r="HN243" s="12"/>
    </row>
    <row r="244" ht="13.5" customHeight="1">
      <c r="A244" s="12"/>
      <c r="B244" s="12"/>
      <c r="C244" s="12"/>
      <c r="D244" s="12"/>
      <c r="E244" s="42"/>
      <c r="F244" s="12"/>
      <c r="G244" s="12"/>
      <c r="H244" s="43"/>
      <c r="I244" s="12"/>
      <c r="J244" s="12"/>
      <c r="K244" s="43"/>
      <c r="L244" s="30"/>
      <c r="M244" s="25"/>
      <c r="N244" s="12"/>
      <c r="O244" s="12"/>
      <c r="P244" s="12"/>
      <c r="Q244" s="44"/>
      <c r="R244" s="12"/>
      <c r="S244" s="12"/>
      <c r="T244" s="12"/>
      <c r="U244" s="43"/>
      <c r="V244" s="44"/>
      <c r="W244" s="12"/>
      <c r="X244" s="12"/>
      <c r="Y244" s="12"/>
      <c r="Z244" s="43"/>
      <c r="AA244" s="43"/>
      <c r="AB244" s="12"/>
      <c r="AC244" s="12"/>
      <c r="AD244" s="12"/>
      <c r="AE244" s="12"/>
      <c r="AF244" s="12"/>
      <c r="AG244" s="12"/>
      <c r="AH244" s="12"/>
      <c r="AI244" s="12"/>
      <c r="AJ244" s="42"/>
      <c r="AK244" s="12"/>
      <c r="AL244" s="12"/>
      <c r="AM244" s="12"/>
      <c r="AN244" s="43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45"/>
      <c r="BV244" s="25"/>
      <c r="BW244" s="25"/>
      <c r="BX244" s="25"/>
      <c r="BY244" s="25"/>
      <c r="BZ244" s="25"/>
      <c r="CA244" s="25"/>
      <c r="CB244" s="26"/>
      <c r="CC244" s="26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46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25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30"/>
      <c r="GP244" s="30"/>
      <c r="GQ244" s="12"/>
      <c r="GR244" s="30"/>
      <c r="GS244" s="12"/>
      <c r="GT244" s="12"/>
      <c r="GU244" s="25"/>
      <c r="GV244" s="12"/>
      <c r="GW244" s="12"/>
      <c r="GX244" s="30"/>
      <c r="GY244" s="30"/>
      <c r="GZ244" s="30"/>
      <c r="HA244" s="30"/>
      <c r="HB244" s="30"/>
      <c r="HC244" s="30"/>
      <c r="HD244" s="30"/>
      <c r="HE244" s="30"/>
      <c r="HF244" s="30"/>
      <c r="HG244" s="30"/>
      <c r="HH244" s="30"/>
      <c r="HI244" s="12"/>
      <c r="HJ244" s="12"/>
      <c r="HK244" s="12"/>
      <c r="HL244" s="12"/>
      <c r="HM244" s="12"/>
      <c r="HN244" s="12"/>
    </row>
    <row r="245" ht="13.5" customHeight="1">
      <c r="A245" s="12"/>
      <c r="B245" s="12"/>
      <c r="C245" s="12"/>
      <c r="D245" s="12"/>
      <c r="E245" s="42"/>
      <c r="F245" s="12"/>
      <c r="G245" s="12"/>
      <c r="H245" s="43"/>
      <c r="I245" s="12"/>
      <c r="J245" s="12"/>
      <c r="K245" s="43"/>
      <c r="L245" s="30"/>
      <c r="M245" s="25"/>
      <c r="N245" s="12"/>
      <c r="O245" s="12"/>
      <c r="P245" s="12"/>
      <c r="Q245" s="44"/>
      <c r="R245" s="12"/>
      <c r="S245" s="12"/>
      <c r="T245" s="12"/>
      <c r="U245" s="43"/>
      <c r="V245" s="44"/>
      <c r="W245" s="12"/>
      <c r="X245" s="12"/>
      <c r="Y245" s="12"/>
      <c r="Z245" s="43"/>
      <c r="AA245" s="43"/>
      <c r="AB245" s="12"/>
      <c r="AC245" s="12"/>
      <c r="AD245" s="12"/>
      <c r="AE245" s="12"/>
      <c r="AF245" s="12"/>
      <c r="AG245" s="12"/>
      <c r="AH245" s="12"/>
      <c r="AI245" s="12"/>
      <c r="AJ245" s="42"/>
      <c r="AK245" s="12"/>
      <c r="AL245" s="12"/>
      <c r="AM245" s="12"/>
      <c r="AN245" s="43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45"/>
      <c r="BV245" s="25"/>
      <c r="BW245" s="25"/>
      <c r="BX245" s="25"/>
      <c r="BY245" s="25"/>
      <c r="BZ245" s="25"/>
      <c r="CA245" s="25"/>
      <c r="CB245" s="26"/>
      <c r="CC245" s="26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46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25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30"/>
      <c r="GP245" s="30"/>
      <c r="GQ245" s="12"/>
      <c r="GR245" s="30"/>
      <c r="GS245" s="12"/>
      <c r="GT245" s="12"/>
      <c r="GU245" s="25"/>
      <c r="GV245" s="12"/>
      <c r="GW245" s="12"/>
      <c r="GX245" s="30"/>
      <c r="GY245" s="30"/>
      <c r="GZ245" s="30"/>
      <c r="HA245" s="30"/>
      <c r="HB245" s="30"/>
      <c r="HC245" s="30"/>
      <c r="HD245" s="30"/>
      <c r="HE245" s="30"/>
      <c r="HF245" s="30"/>
      <c r="HG245" s="30"/>
      <c r="HH245" s="30"/>
      <c r="HI245" s="12"/>
      <c r="HJ245" s="12"/>
      <c r="HK245" s="12"/>
      <c r="HL245" s="12"/>
      <c r="HM245" s="12"/>
      <c r="HN245" s="12"/>
    </row>
    <row r="246" ht="13.5" customHeight="1">
      <c r="A246" s="12"/>
      <c r="B246" s="12"/>
      <c r="C246" s="12"/>
      <c r="D246" s="12"/>
      <c r="E246" s="42"/>
      <c r="F246" s="12"/>
      <c r="G246" s="12"/>
      <c r="H246" s="43"/>
      <c r="I246" s="12"/>
      <c r="J246" s="12"/>
      <c r="K246" s="43"/>
      <c r="L246" s="30"/>
      <c r="M246" s="25"/>
      <c r="N246" s="12"/>
      <c r="O246" s="12"/>
      <c r="P246" s="12"/>
      <c r="Q246" s="44"/>
      <c r="R246" s="12"/>
      <c r="S246" s="12"/>
      <c r="T246" s="12"/>
      <c r="U246" s="43"/>
      <c r="V246" s="44"/>
      <c r="W246" s="12"/>
      <c r="X246" s="12"/>
      <c r="Y246" s="12"/>
      <c r="Z246" s="43"/>
      <c r="AA246" s="43"/>
      <c r="AB246" s="12"/>
      <c r="AC246" s="12"/>
      <c r="AD246" s="12"/>
      <c r="AE246" s="12"/>
      <c r="AF246" s="12"/>
      <c r="AG246" s="12"/>
      <c r="AH246" s="12"/>
      <c r="AI246" s="12"/>
      <c r="AJ246" s="42"/>
      <c r="AK246" s="12"/>
      <c r="AL246" s="12"/>
      <c r="AM246" s="12"/>
      <c r="AN246" s="43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45"/>
      <c r="BV246" s="25"/>
      <c r="BW246" s="25"/>
      <c r="BX246" s="25"/>
      <c r="BY246" s="25"/>
      <c r="BZ246" s="25"/>
      <c r="CA246" s="25"/>
      <c r="CB246" s="26"/>
      <c r="CC246" s="26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46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25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30"/>
      <c r="GP246" s="30"/>
      <c r="GQ246" s="12"/>
      <c r="GR246" s="30"/>
      <c r="GS246" s="12"/>
      <c r="GT246" s="12"/>
      <c r="GU246" s="25"/>
      <c r="GV246" s="12"/>
      <c r="GW246" s="12"/>
      <c r="GX246" s="30"/>
      <c r="GY246" s="30"/>
      <c r="GZ246" s="30"/>
      <c r="HA246" s="30"/>
      <c r="HB246" s="30"/>
      <c r="HC246" s="30"/>
      <c r="HD246" s="30"/>
      <c r="HE246" s="30"/>
      <c r="HF246" s="30"/>
      <c r="HG246" s="30"/>
      <c r="HH246" s="30"/>
      <c r="HI246" s="12"/>
      <c r="HJ246" s="12"/>
      <c r="HK246" s="12"/>
      <c r="HL246" s="12"/>
      <c r="HM246" s="12"/>
      <c r="HN246" s="12"/>
    </row>
    <row r="247" ht="13.5" customHeight="1">
      <c r="A247" s="12"/>
      <c r="B247" s="12"/>
      <c r="C247" s="12"/>
      <c r="D247" s="12"/>
      <c r="E247" s="42"/>
      <c r="F247" s="12"/>
      <c r="G247" s="12"/>
      <c r="H247" s="43"/>
      <c r="I247" s="12"/>
      <c r="J247" s="12"/>
      <c r="K247" s="43"/>
      <c r="L247" s="30"/>
      <c r="M247" s="25"/>
      <c r="N247" s="12"/>
      <c r="O247" s="12"/>
      <c r="P247" s="12"/>
      <c r="Q247" s="44"/>
      <c r="R247" s="12"/>
      <c r="S247" s="12"/>
      <c r="T247" s="12"/>
      <c r="U247" s="43"/>
      <c r="V247" s="44"/>
      <c r="W247" s="12"/>
      <c r="X247" s="12"/>
      <c r="Y247" s="12"/>
      <c r="Z247" s="43"/>
      <c r="AA247" s="43"/>
      <c r="AB247" s="12"/>
      <c r="AC247" s="12"/>
      <c r="AD247" s="12"/>
      <c r="AE247" s="12"/>
      <c r="AF247" s="12"/>
      <c r="AG247" s="12"/>
      <c r="AH247" s="12"/>
      <c r="AI247" s="12"/>
      <c r="AJ247" s="42"/>
      <c r="AK247" s="12"/>
      <c r="AL247" s="12"/>
      <c r="AM247" s="12"/>
      <c r="AN247" s="43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45"/>
      <c r="BV247" s="25"/>
      <c r="BW247" s="25"/>
      <c r="BX247" s="25"/>
      <c r="BY247" s="25"/>
      <c r="BZ247" s="25"/>
      <c r="CA247" s="25"/>
      <c r="CB247" s="26"/>
      <c r="CC247" s="26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46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25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30"/>
      <c r="GP247" s="30"/>
      <c r="GQ247" s="12"/>
      <c r="GR247" s="30"/>
      <c r="GS247" s="12"/>
      <c r="GT247" s="12"/>
      <c r="GU247" s="25"/>
      <c r="GV247" s="12"/>
      <c r="GW247" s="12"/>
      <c r="GX247" s="30"/>
      <c r="GY247" s="30"/>
      <c r="GZ247" s="30"/>
      <c r="HA247" s="30"/>
      <c r="HB247" s="30"/>
      <c r="HC247" s="30"/>
      <c r="HD247" s="30"/>
      <c r="HE247" s="30"/>
      <c r="HF247" s="30"/>
      <c r="HG247" s="30"/>
      <c r="HH247" s="30"/>
      <c r="HI247" s="12"/>
      <c r="HJ247" s="12"/>
      <c r="HK247" s="12"/>
      <c r="HL247" s="12"/>
      <c r="HM247" s="12"/>
      <c r="HN247" s="12"/>
    </row>
    <row r="248" ht="13.5" customHeight="1">
      <c r="A248" s="12"/>
      <c r="B248" s="12"/>
      <c r="C248" s="12"/>
      <c r="D248" s="12"/>
      <c r="E248" s="42"/>
      <c r="F248" s="12"/>
      <c r="G248" s="12"/>
      <c r="H248" s="43"/>
      <c r="I248" s="12"/>
      <c r="J248" s="12"/>
      <c r="K248" s="43"/>
      <c r="L248" s="30"/>
      <c r="M248" s="25"/>
      <c r="N248" s="12"/>
      <c r="O248" s="12"/>
      <c r="P248" s="12"/>
      <c r="Q248" s="44"/>
      <c r="R248" s="12"/>
      <c r="S248" s="12"/>
      <c r="T248" s="12"/>
      <c r="U248" s="43"/>
      <c r="V248" s="44"/>
      <c r="W248" s="12"/>
      <c r="X248" s="12"/>
      <c r="Y248" s="12"/>
      <c r="Z248" s="43"/>
      <c r="AA248" s="43"/>
      <c r="AB248" s="12"/>
      <c r="AC248" s="12"/>
      <c r="AD248" s="12"/>
      <c r="AE248" s="12"/>
      <c r="AF248" s="12"/>
      <c r="AG248" s="12"/>
      <c r="AH248" s="12"/>
      <c r="AI248" s="12"/>
      <c r="AJ248" s="42"/>
      <c r="AK248" s="12"/>
      <c r="AL248" s="12"/>
      <c r="AM248" s="12"/>
      <c r="AN248" s="43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45"/>
      <c r="BV248" s="25"/>
      <c r="BW248" s="25"/>
      <c r="BX248" s="25"/>
      <c r="BY248" s="25"/>
      <c r="BZ248" s="25"/>
      <c r="CA248" s="25"/>
      <c r="CB248" s="26"/>
      <c r="CC248" s="26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46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25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30"/>
      <c r="GP248" s="30"/>
      <c r="GQ248" s="12"/>
      <c r="GR248" s="30"/>
      <c r="GS248" s="12"/>
      <c r="GT248" s="12"/>
      <c r="GU248" s="25"/>
      <c r="GV248" s="12"/>
      <c r="GW248" s="12"/>
      <c r="GX248" s="30"/>
      <c r="GY248" s="30"/>
      <c r="GZ248" s="30"/>
      <c r="HA248" s="30"/>
      <c r="HB248" s="30"/>
      <c r="HC248" s="30"/>
      <c r="HD248" s="30"/>
      <c r="HE248" s="30"/>
      <c r="HF248" s="30"/>
      <c r="HG248" s="30"/>
      <c r="HH248" s="30"/>
      <c r="HI248" s="12"/>
      <c r="HJ248" s="12"/>
      <c r="HK248" s="12"/>
      <c r="HL248" s="12"/>
      <c r="HM248" s="12"/>
      <c r="HN248" s="12"/>
    </row>
  </sheetData>
  <autoFilter ref="$A$1:$HM$48"/>
  <dataValidations>
    <dataValidation type="list" allowBlank="1" showErrorMessage="1" sqref="GB2:GB48">
      <formula1>$GC$1:$GN$1</formula1>
    </dataValidation>
  </dataValidations>
  <printOptions/>
  <pageMargins bottom="0.787401575" footer="0.0" header="0.0" left="0.511811024" right="0.511811024" top="0.787401575"/>
  <pageSetup paperSize="9" orientation="portrait"/>
  <headerFooter>
    <oddHeader>&amp;CFF0000 INTERNO#_x000D_</oddHeader>
    <oddFooter>&amp;C_x000D_#FF0000 INTERNO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6" width="8.71"/>
  </cols>
  <sheetData>
    <row r="1">
      <c r="A1" s="2" t="s">
        <v>3</v>
      </c>
    </row>
    <row r="2">
      <c r="A2" s="42">
        <v>209340.0</v>
      </c>
    </row>
    <row r="3">
      <c r="A3" s="42">
        <v>225698.0</v>
      </c>
    </row>
    <row r="4">
      <c r="A4" s="42">
        <v>212235.0</v>
      </c>
    </row>
    <row r="5">
      <c r="A5" s="42">
        <v>150420.0</v>
      </c>
    </row>
    <row r="6">
      <c r="A6" s="15">
        <v>171430.0</v>
      </c>
    </row>
    <row r="7">
      <c r="A7" s="33">
        <v>211181.0</v>
      </c>
    </row>
    <row r="8">
      <c r="A8" s="33">
        <v>152794.0</v>
      </c>
    </row>
    <row r="9">
      <c r="A9" s="33">
        <v>197223.0</v>
      </c>
    </row>
    <row r="10">
      <c r="A10" s="33">
        <v>212236.0</v>
      </c>
    </row>
    <row r="11">
      <c r="A11" s="33">
        <v>213624.0</v>
      </c>
    </row>
    <row r="12">
      <c r="A12" s="33">
        <v>212234.0</v>
      </c>
    </row>
    <row r="13">
      <c r="A13" s="33">
        <v>139779.0</v>
      </c>
    </row>
    <row r="14">
      <c r="A14" s="33">
        <v>198361.0</v>
      </c>
    </row>
    <row r="15">
      <c r="A15" s="33">
        <v>87246.0</v>
      </c>
    </row>
    <row r="16">
      <c r="A16" s="33">
        <v>198403.0</v>
      </c>
    </row>
    <row r="17">
      <c r="A17" s="33">
        <v>87254.0</v>
      </c>
    </row>
    <row r="18">
      <c r="A18" s="33">
        <v>119540.0</v>
      </c>
    </row>
    <row r="19">
      <c r="A19" s="33">
        <v>138285.0</v>
      </c>
    </row>
    <row r="20">
      <c r="A20" s="33">
        <v>182699.0</v>
      </c>
    </row>
    <row r="21" ht="15.75" customHeight="1">
      <c r="A21" s="33">
        <v>119541.0</v>
      </c>
    </row>
    <row r="22" ht="15.75" customHeight="1">
      <c r="A22" s="33">
        <v>34126.0</v>
      </c>
    </row>
    <row r="23" ht="15.75" customHeight="1">
      <c r="A23" s="33">
        <v>58335.0</v>
      </c>
    </row>
    <row r="24" ht="15.75" customHeight="1">
      <c r="A24" s="33">
        <v>212232.0</v>
      </c>
    </row>
    <row r="25" ht="15.75" customHeight="1">
      <c r="A25" s="33">
        <v>129466.0</v>
      </c>
    </row>
    <row r="26" ht="15.75" customHeight="1">
      <c r="A26" s="33">
        <v>220019.0</v>
      </c>
    </row>
    <row r="27" ht="15.75" customHeight="1">
      <c r="A27" s="33">
        <v>127662.0</v>
      </c>
    </row>
    <row r="28" ht="15.75" customHeight="1">
      <c r="A28" s="33">
        <v>99082.0</v>
      </c>
    </row>
    <row r="29" ht="15.75" customHeight="1">
      <c r="A29" s="33">
        <v>156617.0</v>
      </c>
    </row>
    <row r="30" ht="15.75" customHeight="1">
      <c r="A30" s="33">
        <v>58025.0</v>
      </c>
    </row>
    <row r="31" ht="15.75" customHeight="1">
      <c r="A31" s="33">
        <v>57495.0</v>
      </c>
    </row>
    <row r="32" ht="15.75" customHeight="1">
      <c r="A32" s="33">
        <v>237276.0</v>
      </c>
    </row>
    <row r="33" ht="15.75" customHeight="1">
      <c r="A33" s="33">
        <v>152674.0</v>
      </c>
    </row>
    <row r="34" ht="15.75" customHeight="1">
      <c r="A34" s="33">
        <v>200872.0</v>
      </c>
    </row>
    <row r="35" ht="15.75" customHeight="1">
      <c r="A35" s="33">
        <v>214527.0</v>
      </c>
    </row>
    <row r="36" ht="15.75" customHeight="1">
      <c r="A36" s="33">
        <v>161077.0</v>
      </c>
    </row>
    <row r="37" ht="15.75" customHeight="1">
      <c r="A37" s="33">
        <v>209905.0</v>
      </c>
    </row>
    <row r="38" ht="15.75" customHeight="1">
      <c r="A38" s="33">
        <v>158257.0</v>
      </c>
    </row>
    <row r="39" ht="15.75" customHeight="1">
      <c r="A39" s="33">
        <v>120949.0</v>
      </c>
    </row>
    <row r="40" ht="15.75" customHeight="1">
      <c r="A40" s="33">
        <v>183203.0</v>
      </c>
    </row>
    <row r="41" ht="15.75" customHeight="1">
      <c r="A41" s="33">
        <v>171432.0</v>
      </c>
    </row>
    <row r="42" ht="15.75" customHeight="1">
      <c r="A42" s="33">
        <v>118237.0</v>
      </c>
    </row>
    <row r="43" ht="15.75" customHeight="1">
      <c r="A43" s="33">
        <v>152954.0</v>
      </c>
    </row>
    <row r="44" ht="15.75" customHeight="1">
      <c r="A44" s="33">
        <v>222213.0</v>
      </c>
    </row>
    <row r="45" ht="15.75" customHeight="1">
      <c r="A45" s="33">
        <v>210284.0</v>
      </c>
    </row>
    <row r="46" ht="15.75" customHeight="1">
      <c r="A46" s="33">
        <v>227919.0</v>
      </c>
    </row>
    <row r="47" ht="15.75" customHeight="1">
      <c r="A47" s="33">
        <v>161059.0</v>
      </c>
    </row>
    <row r="48" ht="15.75" customHeight="1">
      <c r="A48" s="33">
        <v>154212.0</v>
      </c>
    </row>
    <row r="49" ht="15.75" customHeight="1">
      <c r="A49" s="33">
        <v>152912.0</v>
      </c>
    </row>
    <row r="50" ht="15.75" customHeight="1">
      <c r="A50" s="33">
        <v>118871.0</v>
      </c>
    </row>
    <row r="51" ht="15.75" customHeight="1">
      <c r="A51" s="33">
        <v>238002.0</v>
      </c>
    </row>
    <row r="52" ht="15.75" customHeight="1">
      <c r="A52" s="33">
        <v>150421.0</v>
      </c>
    </row>
    <row r="53" ht="15.75" customHeight="1">
      <c r="A53" s="33">
        <v>191204.0</v>
      </c>
    </row>
    <row r="54" ht="15.75" customHeight="1">
      <c r="A54" s="33">
        <v>214528.0</v>
      </c>
    </row>
    <row r="55" ht="15.75" customHeight="1">
      <c r="A55" s="33">
        <v>226358.0</v>
      </c>
    </row>
    <row r="56" ht="15.75" customHeight="1">
      <c r="A56" s="33">
        <v>133723.0</v>
      </c>
    </row>
    <row r="57" ht="15.75" customHeight="1">
      <c r="A57" s="33">
        <v>151279.0</v>
      </c>
    </row>
    <row r="58" ht="15.75" customHeight="1">
      <c r="A58" s="33">
        <v>202596.0</v>
      </c>
    </row>
    <row r="59" ht="15.75" customHeight="1">
      <c r="A59" s="33">
        <v>236237.0</v>
      </c>
    </row>
    <row r="60" ht="15.75" customHeight="1">
      <c r="A60" s="33">
        <v>226687.0</v>
      </c>
    </row>
    <row r="61" ht="15.75" customHeight="1">
      <c r="A61" s="33">
        <v>97349.0</v>
      </c>
    </row>
    <row r="62" ht="15.75" customHeight="1">
      <c r="A62" s="33">
        <v>238039.0</v>
      </c>
    </row>
    <row r="63" ht="15.75" customHeight="1">
      <c r="A63" s="33">
        <v>238037.0</v>
      </c>
    </row>
    <row r="64" ht="15.75" customHeight="1">
      <c r="A64" s="33">
        <v>225121.0</v>
      </c>
    </row>
    <row r="65" ht="15.75" customHeight="1">
      <c r="A65" s="33">
        <v>226900.0</v>
      </c>
    </row>
    <row r="66" ht="15.75" customHeight="1">
      <c r="A66" s="33">
        <v>190980.0</v>
      </c>
    </row>
    <row r="67" ht="15.75" customHeight="1">
      <c r="A67" s="33">
        <v>176961.0</v>
      </c>
    </row>
    <row r="68" ht="15.75" customHeight="1">
      <c r="A68" s="33">
        <v>228623.0</v>
      </c>
    </row>
    <row r="69" ht="15.75" customHeight="1">
      <c r="A69" s="33">
        <v>205527.0</v>
      </c>
    </row>
    <row r="70" ht="15.75" customHeight="1">
      <c r="A70" s="33">
        <v>200049.0</v>
      </c>
    </row>
    <row r="71" ht="15.75" customHeight="1">
      <c r="A71" s="33">
        <v>226987.0</v>
      </c>
    </row>
    <row r="72" ht="15.75" customHeight="1">
      <c r="A72" s="33">
        <v>120952.0</v>
      </c>
    </row>
    <row r="73" ht="15.75" customHeight="1">
      <c r="A73" s="33">
        <v>137465.0</v>
      </c>
    </row>
    <row r="74" ht="15.75" customHeight="1">
      <c r="A74" s="33">
        <v>118533.0</v>
      </c>
    </row>
    <row r="75" ht="15.75" customHeight="1">
      <c r="A75" s="33">
        <v>226363.0</v>
      </c>
    </row>
    <row r="76" ht="15.75" customHeight="1">
      <c r="A76" s="33">
        <v>210265.0</v>
      </c>
    </row>
    <row r="77" ht="15.75" customHeight="1">
      <c r="A77" s="33">
        <v>210583.0</v>
      </c>
    </row>
    <row r="78" ht="15.75" customHeight="1">
      <c r="A78" s="33">
        <v>113409.0</v>
      </c>
    </row>
    <row r="79" ht="15.75" customHeight="1">
      <c r="A79" s="33">
        <v>191205.0</v>
      </c>
    </row>
    <row r="80" ht="15.75" customHeight="1">
      <c r="A80" s="33">
        <v>153017.0</v>
      </c>
    </row>
    <row r="81" ht="15.75" customHeight="1">
      <c r="A81" s="33">
        <v>210785.0</v>
      </c>
    </row>
    <row r="82" ht="15.75" customHeight="1">
      <c r="A82" s="33">
        <v>149940.0</v>
      </c>
    </row>
    <row r="83" ht="15.75" customHeight="1">
      <c r="A83" s="33">
        <v>226938.0</v>
      </c>
    </row>
    <row r="84" ht="15.75" customHeight="1">
      <c r="A84" s="33">
        <v>53759.0</v>
      </c>
    </row>
    <row r="85" ht="15.75" customHeight="1">
      <c r="A85" s="33">
        <v>149939.0</v>
      </c>
    </row>
    <row r="86" ht="15.75" customHeight="1">
      <c r="A86" s="33">
        <v>148781.0</v>
      </c>
    </row>
    <row r="87" ht="15.75" customHeight="1">
      <c r="A87" s="33">
        <v>224442.0</v>
      </c>
    </row>
    <row r="88" ht="15.75" customHeight="1">
      <c r="A88" s="33">
        <v>227918.0</v>
      </c>
    </row>
    <row r="89" ht="15.75" customHeight="1">
      <c r="A89" s="33">
        <v>33987.0</v>
      </c>
    </row>
    <row r="90" ht="15.75" customHeight="1">
      <c r="A90" s="33">
        <v>34002.0</v>
      </c>
    </row>
    <row r="91" ht="15.75" customHeight="1">
      <c r="A91" s="33">
        <v>129465.0</v>
      </c>
    </row>
    <row r="92" ht="15.75" customHeight="1">
      <c r="A92" s="33">
        <v>166868.0</v>
      </c>
    </row>
    <row r="93" ht="15.75" customHeight="1">
      <c r="A93" s="33">
        <v>33979.0</v>
      </c>
    </row>
    <row r="94" ht="15.75" customHeight="1">
      <c r="A94" s="33">
        <v>58440.0</v>
      </c>
    </row>
    <row r="95" ht="15.75" customHeight="1">
      <c r="A95" s="33">
        <v>118236.0</v>
      </c>
    </row>
    <row r="96" ht="15.75" customHeight="1">
      <c r="A96" s="33">
        <v>185674.0</v>
      </c>
    </row>
    <row r="97" ht="15.75" customHeight="1">
      <c r="A97" s="33">
        <v>212064.0</v>
      </c>
    </row>
    <row r="98" ht="15.75" customHeight="1">
      <c r="A98" s="33">
        <v>227602.0</v>
      </c>
    </row>
    <row r="99" ht="15.75" customHeight="1">
      <c r="A99" s="33">
        <v>223355.0</v>
      </c>
    </row>
    <row r="100" ht="15.75" customHeight="1">
      <c r="A100" s="33">
        <v>225613.0</v>
      </c>
    </row>
    <row r="101" ht="15.75" customHeight="1">
      <c r="A101" s="33">
        <v>219893.0</v>
      </c>
    </row>
    <row r="102" ht="15.75" customHeight="1">
      <c r="A102" s="33">
        <v>207822.0</v>
      </c>
    </row>
    <row r="103" ht="15.75" customHeight="1">
      <c r="A103" s="33">
        <v>222016.0</v>
      </c>
    </row>
    <row r="104" ht="15.75" customHeight="1">
      <c r="A104" s="33">
        <v>225639.0</v>
      </c>
    </row>
    <row r="105" ht="15.75" customHeight="1">
      <c r="A105" s="33">
        <v>210988.0</v>
      </c>
    </row>
    <row r="106" ht="15.75" customHeight="1">
      <c r="A106" s="33">
        <v>207265.0</v>
      </c>
    </row>
    <row r="107" ht="15.75" customHeight="1">
      <c r="A107" s="33">
        <v>211095.0</v>
      </c>
    </row>
    <row r="108" ht="15.75" customHeight="1">
      <c r="A108" s="33">
        <v>211549.0</v>
      </c>
    </row>
    <row r="109" ht="15.75" customHeight="1">
      <c r="A109" s="33">
        <v>206005.0</v>
      </c>
    </row>
    <row r="110" ht="15.75" customHeight="1">
      <c r="A110" s="33">
        <v>226214.0</v>
      </c>
    </row>
    <row r="111" ht="15.75" customHeight="1">
      <c r="A111" s="33">
        <v>206024.0</v>
      </c>
    </row>
    <row r="112" ht="15.75" customHeight="1">
      <c r="A112" s="33">
        <v>225882.0</v>
      </c>
    </row>
    <row r="113" ht="15.75" customHeight="1">
      <c r="A113" s="33">
        <v>205939.0</v>
      </c>
    </row>
    <row r="114" ht="15.75" customHeight="1">
      <c r="A114" s="33">
        <v>225747.0</v>
      </c>
    </row>
    <row r="115" ht="15.75" customHeight="1">
      <c r="A115" s="33">
        <v>158737.0</v>
      </c>
    </row>
    <row r="116" ht="15.75" customHeight="1">
      <c r="A116" s="33">
        <v>226185.0</v>
      </c>
    </row>
    <row r="117" ht="15.75" customHeight="1">
      <c r="A117" s="33">
        <v>225946.0</v>
      </c>
    </row>
    <row r="118" ht="15.75" customHeight="1">
      <c r="A118" s="33">
        <v>205940.0</v>
      </c>
    </row>
    <row r="119" ht="15.75" customHeight="1">
      <c r="A119" s="33">
        <v>226276.0</v>
      </c>
    </row>
    <row r="120" ht="15.75" customHeight="1">
      <c r="A120" s="33">
        <v>214033.0</v>
      </c>
    </row>
    <row r="121" ht="15.75" customHeight="1">
      <c r="A121" s="33">
        <v>152988.0</v>
      </c>
    </row>
    <row r="122" ht="15.75" customHeight="1">
      <c r="A122" s="33">
        <v>226313.0</v>
      </c>
    </row>
    <row r="123" ht="15.75" customHeight="1">
      <c r="A123" s="33">
        <v>210945.0</v>
      </c>
    </row>
    <row r="124" ht="15.75" customHeight="1">
      <c r="A124" s="33">
        <v>225620.0</v>
      </c>
    </row>
    <row r="125" ht="15.75" customHeight="1">
      <c r="A125" s="33">
        <v>226340.0</v>
      </c>
    </row>
    <row r="126" ht="15.75" customHeight="1">
      <c r="A126" s="33">
        <v>211451.0</v>
      </c>
    </row>
    <row r="127" ht="15.75" customHeight="1">
      <c r="A127" s="33">
        <v>205938.0</v>
      </c>
    </row>
    <row r="128" ht="15.75" customHeight="1">
      <c r="A128" s="33">
        <v>223358.0</v>
      </c>
    </row>
    <row r="129" ht="15.75" customHeight="1">
      <c r="A129" s="33">
        <v>207195.0</v>
      </c>
    </row>
    <row r="130" ht="15.75" customHeight="1">
      <c r="A130" s="33">
        <v>207755.0</v>
      </c>
    </row>
    <row r="131" ht="15.75" customHeight="1">
      <c r="A131" s="33">
        <v>213701.0</v>
      </c>
    </row>
    <row r="132" ht="15.75" customHeight="1">
      <c r="A132" s="33">
        <v>214045.0</v>
      </c>
    </row>
    <row r="133" ht="15.75" customHeight="1">
      <c r="A133" s="33">
        <v>225642.0</v>
      </c>
    </row>
    <row r="134" ht="15.75" customHeight="1">
      <c r="A134" s="33">
        <v>226334.0</v>
      </c>
    </row>
    <row r="135" ht="15.75" customHeight="1">
      <c r="A135" s="33">
        <v>206068.0</v>
      </c>
    </row>
    <row r="136" ht="15.75" customHeight="1">
      <c r="A136" s="33">
        <v>205924.0</v>
      </c>
    </row>
    <row r="137" ht="15.75" customHeight="1">
      <c r="A137" s="33">
        <v>158738.0</v>
      </c>
    </row>
    <row r="138" ht="15.75" customHeight="1">
      <c r="A138" s="33">
        <v>225615.0</v>
      </c>
    </row>
    <row r="139" ht="15.75" customHeight="1">
      <c r="A139" s="33">
        <v>39535.0</v>
      </c>
    </row>
    <row r="140" ht="15.75" customHeight="1">
      <c r="A140" s="33">
        <v>207749.0</v>
      </c>
    </row>
    <row r="141" ht="15.75" customHeight="1">
      <c r="A141" s="33">
        <v>204761.0</v>
      </c>
    </row>
    <row r="142" ht="15.75" customHeight="1">
      <c r="A142" s="33">
        <v>226232.0</v>
      </c>
    </row>
    <row r="143" ht="15.75" customHeight="1">
      <c r="A143" s="33">
        <v>230872.0</v>
      </c>
    </row>
    <row r="144" ht="15.75" customHeight="1">
      <c r="A144" s="33">
        <v>223370.0</v>
      </c>
    </row>
    <row r="145" ht="15.75" customHeight="1">
      <c r="A145" s="33">
        <v>204646.0</v>
      </c>
    </row>
    <row r="146" ht="15.75" customHeight="1">
      <c r="A146" s="33">
        <v>225908.0</v>
      </c>
    </row>
    <row r="147" ht="15.75" customHeight="1">
      <c r="A147" s="33">
        <v>225977.0</v>
      </c>
    </row>
    <row r="148" ht="15.75" customHeight="1">
      <c r="A148" s="33">
        <v>222965.0</v>
      </c>
    </row>
    <row r="149" ht="15.75" customHeight="1">
      <c r="A149" s="33">
        <v>206376.0</v>
      </c>
    </row>
    <row r="150" ht="15.75" customHeight="1">
      <c r="A150" s="33">
        <v>205922.0</v>
      </c>
    </row>
    <row r="151" ht="15.75" customHeight="1">
      <c r="A151" s="33">
        <v>206023.0</v>
      </c>
    </row>
    <row r="152" ht="15.75" customHeight="1">
      <c r="A152" s="33">
        <v>225651.0</v>
      </c>
    </row>
    <row r="153" ht="15.75" customHeight="1">
      <c r="A153" s="33">
        <v>225621.0</v>
      </c>
    </row>
    <row r="154" ht="15.75" customHeight="1">
      <c r="A154" s="33">
        <v>225614.0</v>
      </c>
    </row>
    <row r="155" ht="15.75" customHeight="1">
      <c r="A155" s="33">
        <v>206087.0</v>
      </c>
    </row>
    <row r="156" ht="15.75" customHeight="1">
      <c r="A156" s="33">
        <v>225666.0</v>
      </c>
    </row>
    <row r="157" ht="15.75" customHeight="1">
      <c r="A157" s="33">
        <v>204751.0</v>
      </c>
    </row>
    <row r="158" ht="15.75" customHeight="1">
      <c r="A158" s="33">
        <v>225647.0</v>
      </c>
    </row>
    <row r="159" ht="15.75" customHeight="1">
      <c r="A159" s="33">
        <v>208017.0</v>
      </c>
    </row>
    <row r="160" ht="15.75" customHeight="1">
      <c r="A160" s="33">
        <v>204748.0</v>
      </c>
    </row>
    <row r="161" ht="15.75" customHeight="1">
      <c r="A161" s="33">
        <v>154203.0</v>
      </c>
    </row>
    <row r="162" ht="15.75" customHeight="1">
      <c r="A162" s="33">
        <v>207824.0</v>
      </c>
    </row>
    <row r="163" ht="15.75" customHeight="1">
      <c r="A163" s="33">
        <v>175694.0</v>
      </c>
    </row>
    <row r="164" ht="15.75" customHeight="1">
      <c r="A164" s="33">
        <v>208013.0</v>
      </c>
    </row>
    <row r="165" ht="15.75" customHeight="1">
      <c r="A165" s="33">
        <v>225652.0</v>
      </c>
    </row>
    <row r="166" ht="15.75" customHeight="1">
      <c r="A166" s="33">
        <v>226183.0</v>
      </c>
    </row>
    <row r="167" ht="15.75" customHeight="1">
      <c r="A167" s="33">
        <v>152990.0</v>
      </c>
    </row>
    <row r="168" ht="15.75" customHeight="1">
      <c r="A168" s="33">
        <v>225668.0</v>
      </c>
    </row>
    <row r="169" ht="15.75" customHeight="1">
      <c r="A169" s="33">
        <v>225719.0</v>
      </c>
    </row>
    <row r="170" ht="15.75" customHeight="1">
      <c r="A170" s="33">
        <v>206069.0</v>
      </c>
    </row>
    <row r="171" ht="15.75" customHeight="1">
      <c r="A171" s="33">
        <v>206026.0</v>
      </c>
    </row>
    <row r="172" ht="15.75" customHeight="1">
      <c r="A172" s="33">
        <v>152989.0</v>
      </c>
    </row>
    <row r="173" ht="15.75" customHeight="1">
      <c r="A173" s="33">
        <v>225636.0</v>
      </c>
    </row>
    <row r="174" ht="15.75" customHeight="1">
      <c r="A174" s="33">
        <v>168728.0</v>
      </c>
    </row>
    <row r="175" ht="15.75" customHeight="1">
      <c r="A175" s="33">
        <v>211665.0</v>
      </c>
    </row>
    <row r="176" ht="15.75" customHeight="1">
      <c r="A176" s="33">
        <v>214206.0</v>
      </c>
    </row>
    <row r="177" ht="15.75" customHeight="1">
      <c r="A177" s="33">
        <v>239149.0</v>
      </c>
    </row>
    <row r="178" ht="15.75" customHeight="1">
      <c r="A178" s="33">
        <v>225574.0</v>
      </c>
    </row>
    <row r="179" ht="15.75" customHeight="1">
      <c r="A179" s="33">
        <v>118420.0</v>
      </c>
    </row>
    <row r="180" ht="15.75" customHeight="1">
      <c r="A180" s="33">
        <v>221438.0</v>
      </c>
    </row>
    <row r="181" ht="15.75" customHeight="1">
      <c r="A181" s="33">
        <v>225893.0</v>
      </c>
    </row>
    <row r="182" ht="15.75" customHeight="1">
      <c r="A182" s="33">
        <v>206067.0</v>
      </c>
    </row>
    <row r="183" ht="15.75" customHeight="1">
      <c r="A183" s="33">
        <v>223360.0</v>
      </c>
    </row>
    <row r="184" ht="15.75" customHeight="1">
      <c r="A184" s="33">
        <v>207752.0</v>
      </c>
    </row>
    <row r="185" ht="15.75" customHeight="1">
      <c r="A185" s="33">
        <v>227916.0</v>
      </c>
    </row>
    <row r="186" ht="15.75" customHeight="1">
      <c r="A186" s="33">
        <v>225619.0</v>
      </c>
    </row>
    <row r="187" ht="15.75" customHeight="1">
      <c r="A187" s="33">
        <v>207844.0</v>
      </c>
    </row>
    <row r="188" ht="15.75" customHeight="1">
      <c r="A188" s="33">
        <v>225641.0</v>
      </c>
    </row>
    <row r="189" ht="15.75" customHeight="1">
      <c r="A189" s="33">
        <v>225667.0</v>
      </c>
    </row>
    <row r="190" ht="15.75" customHeight="1">
      <c r="A190" s="33">
        <v>208021.0</v>
      </c>
    </row>
    <row r="191" ht="15.75" customHeight="1">
      <c r="A191" s="33">
        <v>211616.0</v>
      </c>
    </row>
    <row r="192" ht="15.75" customHeight="1">
      <c r="A192" s="33">
        <v>212104.0</v>
      </c>
    </row>
    <row r="193" ht="15.75" customHeight="1">
      <c r="A193" s="33">
        <v>154194.0</v>
      </c>
    </row>
    <row r="194" ht="15.75" customHeight="1">
      <c r="A194" s="33">
        <v>220784.0</v>
      </c>
    </row>
    <row r="195" ht="15.75" customHeight="1">
      <c r="A195" s="33">
        <v>206378.0</v>
      </c>
    </row>
    <row r="196" ht="15.75" customHeight="1">
      <c r="A196" s="33">
        <v>226208.0</v>
      </c>
    </row>
    <row r="197" ht="15.75" customHeight="1">
      <c r="A197" s="33">
        <v>225580.0</v>
      </c>
    </row>
    <row r="198" ht="15.75" customHeight="1">
      <c r="A198" s="33">
        <v>211545.0</v>
      </c>
    </row>
    <row r="199" ht="15.75" customHeight="1">
      <c r="A199" s="33">
        <v>211796.0</v>
      </c>
    </row>
    <row r="200" ht="15.75" customHeight="1">
      <c r="A200" s="33">
        <v>189983.0</v>
      </c>
    </row>
    <row r="201" ht="15.75" customHeight="1">
      <c r="A201" s="33">
        <v>220294.0</v>
      </c>
    </row>
    <row r="202" ht="15.75" customHeight="1">
      <c r="A202" s="33">
        <v>183829.0</v>
      </c>
    </row>
    <row r="203" ht="15.75" customHeight="1">
      <c r="A203" s="33">
        <v>220093.0</v>
      </c>
    </row>
    <row r="204" ht="15.75" customHeight="1">
      <c r="A204" s="33">
        <v>225629.0</v>
      </c>
    </row>
    <row r="205" ht="15.75" customHeight="1">
      <c r="A205" s="33">
        <v>206064.0</v>
      </c>
    </row>
    <row r="206" ht="15.75" customHeight="1">
      <c r="A206" s="33">
        <v>238439.0</v>
      </c>
    </row>
    <row r="207" ht="15.75" customHeight="1">
      <c r="A207" s="33">
        <v>223369.0</v>
      </c>
    </row>
    <row r="208" ht="15.75" customHeight="1">
      <c r="A208" s="33">
        <v>220106.0</v>
      </c>
    </row>
    <row r="209" ht="15.75" customHeight="1">
      <c r="A209" s="33">
        <v>207181.0</v>
      </c>
    </row>
    <row r="210" ht="15.75" customHeight="1">
      <c r="A210" s="33">
        <v>205915.0</v>
      </c>
    </row>
    <row r="211" ht="15.75" customHeight="1">
      <c r="A211" s="33">
        <v>226238.0</v>
      </c>
    </row>
    <row r="212" ht="15.75" customHeight="1">
      <c r="A212" s="33">
        <v>222290.0</v>
      </c>
    </row>
    <row r="213" ht="15.75" customHeight="1">
      <c r="A213" s="33">
        <v>204702.0</v>
      </c>
    </row>
    <row r="214" ht="15.75" customHeight="1">
      <c r="A214" s="33">
        <v>219901.0</v>
      </c>
    </row>
    <row r="215" ht="15.75" customHeight="1">
      <c r="A215" s="33">
        <v>225787.0</v>
      </c>
    </row>
    <row r="216" ht="15.75" customHeight="1">
      <c r="A216" s="33">
        <v>240065.0</v>
      </c>
    </row>
    <row r="217" ht="15.75" customHeight="1">
      <c r="A217" s="33">
        <v>210601.0</v>
      </c>
    </row>
    <row r="218" ht="15.75" customHeight="1">
      <c r="A218" s="33">
        <v>211546.0</v>
      </c>
    </row>
    <row r="219" ht="15.75" customHeight="1">
      <c r="A219" s="33">
        <v>206092.0</v>
      </c>
    </row>
    <row r="220" ht="15.75" customHeight="1">
      <c r="A220" s="33">
        <v>223364.0</v>
      </c>
    </row>
    <row r="221" ht="15.75" customHeight="1">
      <c r="A221" s="33">
        <v>225624.0</v>
      </c>
    </row>
    <row r="222" ht="15.75" customHeight="1">
      <c r="A222" s="33">
        <v>204807.0</v>
      </c>
    </row>
    <row r="223" ht="15.75" customHeight="1">
      <c r="A223" s="33">
        <v>225640.0</v>
      </c>
    </row>
    <row r="224" ht="15.75" customHeight="1">
      <c r="A224" s="33">
        <v>226275.0</v>
      </c>
    </row>
    <row r="225" ht="15.75" customHeight="1">
      <c r="A225" s="33">
        <v>218506.0</v>
      </c>
    </row>
    <row r="226" ht="15.75" customHeight="1">
      <c r="A226" s="33">
        <v>226206.0</v>
      </c>
    </row>
    <row r="227" ht="15.75" customHeight="1">
      <c r="A227" s="33">
        <v>218357.0</v>
      </c>
    </row>
    <row r="228" ht="15.75" customHeight="1">
      <c r="A228" s="33">
        <v>222381.0</v>
      </c>
    </row>
    <row r="229" ht="15.75" customHeight="1">
      <c r="A229" s="33">
        <v>206037.0</v>
      </c>
    </row>
    <row r="230" ht="15.75" customHeight="1">
      <c r="A230" s="33">
        <v>240044.0</v>
      </c>
    </row>
    <row r="231" ht="15.75" customHeight="1">
      <c r="A231" s="33">
        <v>206056.0</v>
      </c>
    </row>
    <row r="232" ht="15.75" customHeight="1">
      <c r="A232" s="33">
        <v>225665.0</v>
      </c>
    </row>
    <row r="233" ht="15.75" customHeight="1">
      <c r="A233" s="33">
        <v>152696.0</v>
      </c>
    </row>
    <row r="234" ht="15.75" customHeight="1">
      <c r="A234" s="33">
        <v>226234.0</v>
      </c>
    </row>
    <row r="235" ht="15.75" customHeight="1">
      <c r="A235" s="33">
        <v>227706.0</v>
      </c>
    </row>
    <row r="236" ht="15.75" customHeight="1">
      <c r="A236" s="33">
        <v>206101.0</v>
      </c>
    </row>
    <row r="237" ht="15.75" customHeight="1">
      <c r="A237" s="33">
        <v>161438.0</v>
      </c>
    </row>
    <row r="238" ht="15.75" customHeight="1">
      <c r="A238" s="33">
        <v>208018.0</v>
      </c>
    </row>
    <row r="239" ht="15.75" customHeight="1">
      <c r="A239" s="33">
        <v>225801.0</v>
      </c>
    </row>
    <row r="240" ht="15.75" customHeight="1">
      <c r="A240" s="33">
        <v>203579.0</v>
      </c>
    </row>
    <row r="241" ht="15.75" customHeight="1">
      <c r="A241" s="33">
        <v>214063.0</v>
      </c>
    </row>
    <row r="242" ht="15.75" customHeight="1">
      <c r="A242" s="33">
        <v>190879.0</v>
      </c>
    </row>
    <row r="243" ht="15.75" customHeight="1">
      <c r="A243" s="33">
        <v>227907.0</v>
      </c>
    </row>
    <row r="244" ht="15.75" customHeight="1">
      <c r="A244" s="33">
        <v>225637.0</v>
      </c>
    </row>
    <row r="245" ht="15.75" customHeight="1">
      <c r="A245" s="33">
        <v>218503.0</v>
      </c>
    </row>
    <row r="246" ht="15.75" customHeight="1">
      <c r="A246" s="33">
        <v>218515.0</v>
      </c>
    </row>
    <row r="247" ht="15.75" customHeight="1">
      <c r="A247" s="33">
        <v>207976.0</v>
      </c>
    </row>
    <row r="248" ht="15.75" customHeight="1">
      <c r="A248" s="33">
        <v>207790.0</v>
      </c>
    </row>
    <row r="249" ht="15.75" customHeight="1">
      <c r="A249" s="33">
        <v>212992.0</v>
      </c>
    </row>
    <row r="250" ht="15.75" customHeight="1">
      <c r="A250" s="33">
        <v>206019.0</v>
      </c>
    </row>
    <row r="251" ht="15.75" customHeight="1">
      <c r="A251" s="33">
        <v>226236.0</v>
      </c>
    </row>
    <row r="252" ht="15.75" customHeight="1">
      <c r="A252" s="33">
        <v>214036.0</v>
      </c>
    </row>
    <row r="253" ht="15.75" customHeight="1">
      <c r="A253" s="33">
        <v>223362.0</v>
      </c>
    </row>
    <row r="254" ht="15.75" customHeight="1">
      <c r="A254" s="33">
        <v>220614.0</v>
      </c>
    </row>
    <row r="255" ht="15.75" customHeight="1">
      <c r="A255" s="33">
        <v>133405.0</v>
      </c>
    </row>
    <row r="256" ht="15.75" customHeight="1">
      <c r="A256" s="33">
        <v>63533.0</v>
      </c>
    </row>
    <row r="257" ht="15.75" customHeight="1">
      <c r="A257" s="33">
        <v>206065.0</v>
      </c>
    </row>
    <row r="258" ht="15.75" customHeight="1">
      <c r="A258" s="33">
        <v>159401.0</v>
      </c>
    </row>
    <row r="259" ht="15.75" customHeight="1">
      <c r="A259" s="33">
        <v>189984.0</v>
      </c>
    </row>
    <row r="260" ht="15.75" customHeight="1">
      <c r="A260" s="33">
        <v>156597.0</v>
      </c>
    </row>
    <row r="261" ht="15.75" customHeight="1">
      <c r="A261" s="33">
        <v>212993.0</v>
      </c>
    </row>
    <row r="262" ht="15.75" customHeight="1">
      <c r="A262" s="33">
        <v>224075.0</v>
      </c>
    </row>
    <row r="263" ht="15.75" customHeight="1">
      <c r="A263" s="33">
        <v>223373.0</v>
      </c>
    </row>
    <row r="264" ht="15.75" customHeight="1">
      <c r="A264" s="33">
        <v>225634.0</v>
      </c>
    </row>
    <row r="265" ht="15.75" customHeight="1">
      <c r="A265" s="33">
        <v>206046.0</v>
      </c>
    </row>
    <row r="266" ht="15.75" customHeight="1">
      <c r="A266" s="33">
        <v>225654.0</v>
      </c>
    </row>
    <row r="267" ht="15.75" customHeight="1">
      <c r="A267" s="33">
        <v>154195.0</v>
      </c>
    </row>
    <row r="268" ht="15.75" customHeight="1">
      <c r="A268" s="33">
        <v>206102.0</v>
      </c>
    </row>
    <row r="269" ht="15.75" customHeight="1">
      <c r="A269" s="33">
        <v>225584.0</v>
      </c>
    </row>
    <row r="270" ht="15.75" customHeight="1">
      <c r="A270" s="33">
        <v>206004.0</v>
      </c>
    </row>
    <row r="271" ht="15.75" customHeight="1">
      <c r="A271" s="33">
        <v>211621.0</v>
      </c>
    </row>
    <row r="272" ht="15.75" customHeight="1">
      <c r="A272" s="33">
        <v>214198.0</v>
      </c>
    </row>
    <row r="273" ht="15.75" customHeight="1">
      <c r="A273" s="33">
        <v>205818.0</v>
      </c>
    </row>
    <row r="274" ht="15.75" customHeight="1">
      <c r="A274" s="33">
        <v>204754.0</v>
      </c>
    </row>
    <row r="275" ht="15.75" customHeight="1">
      <c r="A275" s="33">
        <v>163458.0</v>
      </c>
    </row>
    <row r="276" ht="15.75" customHeight="1">
      <c r="A276" s="33">
        <v>225724.0</v>
      </c>
    </row>
    <row r="277" ht="15.75" customHeight="1">
      <c r="A277" s="33">
        <v>225622.0</v>
      </c>
    </row>
    <row r="278" ht="15.75" customHeight="1">
      <c r="A278" s="33">
        <v>206018.0</v>
      </c>
    </row>
    <row r="279" ht="15.75" customHeight="1">
      <c r="A279" s="33">
        <v>208014.0</v>
      </c>
    </row>
    <row r="280" ht="15.75" customHeight="1">
      <c r="A280" s="33">
        <v>218356.0</v>
      </c>
    </row>
    <row r="281" ht="15.75" customHeight="1">
      <c r="A281" s="33">
        <v>213700.0</v>
      </c>
    </row>
    <row r="282" ht="15.75" customHeight="1">
      <c r="A282" s="33">
        <v>84522.0</v>
      </c>
    </row>
    <row r="283" ht="15.75" customHeight="1">
      <c r="A283" s="33">
        <v>207788.0</v>
      </c>
    </row>
    <row r="284" ht="15.75" customHeight="1">
      <c r="A284" s="33">
        <v>219615.0</v>
      </c>
    </row>
    <row r="285" ht="15.75" customHeight="1">
      <c r="A285" s="33">
        <v>225630.0</v>
      </c>
    </row>
    <row r="286" ht="15.75" customHeight="1">
      <c r="A286" s="33">
        <v>226198.0</v>
      </c>
    </row>
    <row r="287" ht="15.75" customHeight="1">
      <c r="A287" s="33">
        <v>213149.0</v>
      </c>
    </row>
    <row r="288" ht="15.75" customHeight="1">
      <c r="A288" s="33">
        <v>236409.0</v>
      </c>
    </row>
    <row r="289" ht="15.75" customHeight="1">
      <c r="A289" s="33">
        <v>121130.0</v>
      </c>
    </row>
    <row r="290" ht="15.75" customHeight="1">
      <c r="A290" s="33">
        <v>37532.0</v>
      </c>
    </row>
    <row r="291" ht="15.75" customHeight="1">
      <c r="A291" s="33">
        <v>212994.0</v>
      </c>
    </row>
    <row r="292" ht="15.75" customHeight="1">
      <c r="A292" s="33">
        <v>206042.0</v>
      </c>
    </row>
    <row r="293" ht="15.75" customHeight="1">
      <c r="A293" s="33">
        <v>213003.0</v>
      </c>
    </row>
    <row r="294" ht="15.75" customHeight="1">
      <c r="A294" s="33">
        <v>214048.0</v>
      </c>
    </row>
    <row r="295" ht="15.75" customHeight="1">
      <c r="A295" s="33">
        <v>207148.0</v>
      </c>
    </row>
    <row r="296" ht="15.75" customHeight="1">
      <c r="A296" s="33">
        <v>204699.0</v>
      </c>
    </row>
    <row r="297" ht="15.75" customHeight="1">
      <c r="A297" s="33">
        <v>168730.0</v>
      </c>
    </row>
    <row r="298" ht="15.75" customHeight="1">
      <c r="A298" s="33">
        <v>208032.0</v>
      </c>
    </row>
    <row r="299" ht="15.75" customHeight="1">
      <c r="A299" s="33">
        <v>222808.0</v>
      </c>
    </row>
    <row r="300" ht="15.75" customHeight="1">
      <c r="A300" s="33">
        <v>209580.0</v>
      </c>
    </row>
    <row r="301" ht="15.75" customHeight="1">
      <c r="A301" s="33">
        <v>226197.0</v>
      </c>
    </row>
    <row r="302" ht="15.75" customHeight="1">
      <c r="A302" s="33">
        <v>219513.0</v>
      </c>
    </row>
    <row r="303" ht="15.75" customHeight="1">
      <c r="A303" s="33">
        <v>213004.0</v>
      </c>
    </row>
    <row r="304" ht="15.75" customHeight="1">
      <c r="A304" s="33">
        <v>225645.0</v>
      </c>
    </row>
    <row r="305" ht="15.75" customHeight="1">
      <c r="A305" s="33">
        <v>205920.0</v>
      </c>
    </row>
    <row r="306" ht="15.75" customHeight="1">
      <c r="A306" s="33">
        <v>207206.0</v>
      </c>
    </row>
    <row r="307" ht="15.75" customHeight="1">
      <c r="A307" s="33">
        <v>225915.0</v>
      </c>
    </row>
    <row r="308" ht="15.75" customHeight="1">
      <c r="A308" s="33">
        <v>213148.0</v>
      </c>
    </row>
    <row r="309" ht="15.75" customHeight="1">
      <c r="A309" s="33">
        <v>226279.0</v>
      </c>
    </row>
    <row r="310" ht="15.75" customHeight="1">
      <c r="A310" s="33">
        <v>207809.0</v>
      </c>
    </row>
    <row r="311" ht="15.75" customHeight="1">
      <c r="A311" s="33">
        <v>225632.0</v>
      </c>
    </row>
    <row r="312" ht="15.75" customHeight="1">
      <c r="A312" s="33">
        <v>206097.0</v>
      </c>
    </row>
    <row r="313" ht="15.75" customHeight="1">
      <c r="A313" s="33">
        <v>166310.0</v>
      </c>
    </row>
    <row r="314" ht="15.75" customHeight="1">
      <c r="A314" s="33">
        <v>223359.0</v>
      </c>
    </row>
    <row r="315" ht="15.75" customHeight="1">
      <c r="A315" s="33">
        <v>223673.0</v>
      </c>
    </row>
    <row r="316" ht="15.75" customHeight="1">
      <c r="A316" s="33">
        <v>211139.0</v>
      </c>
    </row>
    <row r="317" ht="15.75" customHeight="1">
      <c r="A317" s="33">
        <v>230870.0</v>
      </c>
    </row>
    <row r="318" ht="15.75" customHeight="1">
      <c r="A318" s="33">
        <v>213041.0</v>
      </c>
    </row>
    <row r="319" ht="15.75" customHeight="1">
      <c r="A319" s="33">
        <v>230362.0</v>
      </c>
    </row>
    <row r="320" ht="15.75" customHeight="1">
      <c r="A320" s="33">
        <v>225635.0</v>
      </c>
    </row>
    <row r="321" ht="15.75" customHeight="1">
      <c r="A321" s="33">
        <v>238437.0</v>
      </c>
    </row>
    <row r="322" ht="15.75" customHeight="1">
      <c r="A322" s="33">
        <v>225898.0</v>
      </c>
    </row>
    <row r="323" ht="15.75" customHeight="1">
      <c r="A323" s="33">
        <v>205821.0</v>
      </c>
    </row>
    <row r="324" ht="15.75" customHeight="1">
      <c r="A324" s="33">
        <v>213147.0</v>
      </c>
    </row>
    <row r="325" ht="15.75" customHeight="1">
      <c r="A325" s="33">
        <v>223353.0</v>
      </c>
    </row>
    <row r="326" ht="15.75" customHeight="1">
      <c r="A326" s="33">
        <v>214064.0</v>
      </c>
    </row>
    <row r="327" ht="15.75" customHeight="1">
      <c r="A327" s="33">
        <v>220495.0</v>
      </c>
    </row>
    <row r="328" ht="15.75" customHeight="1">
      <c r="A328" s="33">
        <v>225608.0</v>
      </c>
    </row>
    <row r="329" ht="15.75" customHeight="1">
      <c r="A329" s="33">
        <v>225711.0</v>
      </c>
    </row>
    <row r="330" ht="15.75" customHeight="1">
      <c r="A330" s="33">
        <v>213520.0</v>
      </c>
    </row>
    <row r="331" ht="15.75" customHeight="1">
      <c r="A331" s="33">
        <v>227553.0</v>
      </c>
    </row>
    <row r="332" ht="15.75" customHeight="1">
      <c r="A332" s="33">
        <v>225687.0</v>
      </c>
    </row>
    <row r="333" ht="15.75" customHeight="1">
      <c r="A333" s="33">
        <v>206053.0</v>
      </c>
    </row>
    <row r="334" ht="15.75" customHeight="1">
      <c r="A334" s="33">
        <v>207178.0</v>
      </c>
    </row>
    <row r="335" ht="15.75" customHeight="1">
      <c r="A335" s="33">
        <v>207177.0</v>
      </c>
    </row>
    <row r="336" ht="15.75" customHeight="1">
      <c r="A336" s="33">
        <v>206066.0</v>
      </c>
    </row>
    <row r="337" ht="15.75" customHeight="1">
      <c r="A337" s="33">
        <v>226176.0</v>
      </c>
    </row>
    <row r="338" ht="15.75" customHeight="1">
      <c r="A338" s="33">
        <v>211798.0</v>
      </c>
    </row>
    <row r="339" ht="15.75" customHeight="1">
      <c r="A339" s="33">
        <v>225663.0</v>
      </c>
    </row>
    <row r="340" ht="15.75" customHeight="1">
      <c r="A340" s="33">
        <v>208421.0</v>
      </c>
    </row>
    <row r="341" ht="15.75" customHeight="1">
      <c r="A341" s="33">
        <v>225712.0</v>
      </c>
    </row>
    <row r="342" ht="15.75" customHeight="1">
      <c r="A342" s="33">
        <v>206063.0</v>
      </c>
    </row>
    <row r="343" ht="15.75" customHeight="1">
      <c r="A343" s="33">
        <v>225691.0</v>
      </c>
    </row>
    <row r="344" ht="15.75" customHeight="1">
      <c r="A344" s="33">
        <v>207234.0</v>
      </c>
    </row>
    <row r="345" ht="15.75" customHeight="1">
      <c r="A345" s="33">
        <v>119960.0</v>
      </c>
    </row>
    <row r="346" ht="15.75" customHeight="1">
      <c r="A346" s="33">
        <v>225633.0</v>
      </c>
    </row>
    <row r="347" ht="15.75" customHeight="1">
      <c r="A347" s="33">
        <v>207228.0</v>
      </c>
    </row>
    <row r="348" ht="15.75" customHeight="1">
      <c r="A348" s="33">
        <v>225573.0</v>
      </c>
    </row>
    <row r="349" ht="15.75" customHeight="1">
      <c r="A349" s="33">
        <v>225595.0</v>
      </c>
    </row>
    <row r="350" ht="15.75" customHeight="1">
      <c r="A350" s="33">
        <v>225694.0</v>
      </c>
    </row>
    <row r="351" ht="15.75" customHeight="1">
      <c r="A351" s="33">
        <v>213536.0</v>
      </c>
    </row>
    <row r="352" ht="15.75" customHeight="1">
      <c r="A352" s="33">
        <v>217077.0</v>
      </c>
    </row>
    <row r="353" ht="15.75" customHeight="1">
      <c r="A353" s="33">
        <v>215695.0</v>
      </c>
    </row>
    <row r="354" ht="15.75" customHeight="1">
      <c r="A354" s="33">
        <v>207845.0</v>
      </c>
    </row>
    <row r="355" ht="15.75" customHeight="1">
      <c r="A355" s="33">
        <v>225566.0</v>
      </c>
    </row>
    <row r="356" ht="15.75" customHeight="1">
      <c r="A356" s="33">
        <v>206052.0</v>
      </c>
    </row>
    <row r="357" ht="15.75" customHeight="1">
      <c r="A357" s="33">
        <v>226188.0</v>
      </c>
    </row>
    <row r="358" ht="15.75" customHeight="1">
      <c r="A358" s="33">
        <v>211715.0</v>
      </c>
    </row>
    <row r="359" ht="15.75" customHeight="1">
      <c r="A359" s="33">
        <v>230890.0</v>
      </c>
    </row>
    <row r="360" ht="15.75" customHeight="1">
      <c r="A360" s="33">
        <v>206054.0</v>
      </c>
    </row>
    <row r="361" ht="15.75" customHeight="1">
      <c r="A361" s="33">
        <v>225583.0</v>
      </c>
    </row>
    <row r="362" ht="15.75" customHeight="1">
      <c r="A362" s="33">
        <v>207204.0</v>
      </c>
    </row>
    <row r="363" ht="15.75" customHeight="1">
      <c r="A363" s="33">
        <v>154205.0</v>
      </c>
    </row>
    <row r="364" ht="15.75" customHeight="1">
      <c r="A364" s="33">
        <v>230741.0</v>
      </c>
    </row>
    <row r="365" ht="15.75" customHeight="1">
      <c r="A365" s="33">
        <v>226237.0</v>
      </c>
    </row>
    <row r="366" ht="15.75" customHeight="1">
      <c r="A366" s="33">
        <v>206006.0</v>
      </c>
    </row>
    <row r="367" ht="15.75" customHeight="1">
      <c r="A367" s="33">
        <v>213231.0</v>
      </c>
    </row>
    <row r="368" ht="15.75" customHeight="1">
      <c r="A368" s="33">
        <v>214068.0</v>
      </c>
    </row>
    <row r="369" ht="15.75" customHeight="1">
      <c r="A369" s="33">
        <v>207762.0</v>
      </c>
    </row>
    <row r="370" ht="15.75" customHeight="1">
      <c r="A370" s="33">
        <v>225646.0</v>
      </c>
    </row>
    <row r="371" ht="15.75" customHeight="1">
      <c r="A371" s="33">
        <v>204747.0</v>
      </c>
    </row>
    <row r="372" ht="15.75" customHeight="1">
      <c r="A372" s="33">
        <v>210585.0</v>
      </c>
    </row>
    <row r="373" ht="15.75" customHeight="1">
      <c r="A373" s="33">
        <v>221099.0</v>
      </c>
    </row>
    <row r="374" ht="15.75" customHeight="1">
      <c r="A374" s="33">
        <v>238430.0</v>
      </c>
    </row>
    <row r="375" ht="15.75" customHeight="1">
      <c r="A375" s="33">
        <v>226179.0</v>
      </c>
    </row>
    <row r="376" ht="15.75" customHeight="1">
      <c r="A376" s="33">
        <v>225631.0</v>
      </c>
    </row>
    <row r="377" ht="15.75" customHeight="1">
      <c r="A377" s="33">
        <v>238424.0</v>
      </c>
    </row>
    <row r="378" ht="15.75" customHeight="1">
      <c r="A378" s="33">
        <v>206057.0</v>
      </c>
    </row>
    <row r="379" ht="15.75" customHeight="1">
      <c r="A379" s="33">
        <v>208016.0</v>
      </c>
    </row>
    <row r="380" ht="15.75" customHeight="1">
      <c r="A380" s="33">
        <v>208019.0</v>
      </c>
    </row>
    <row r="381" ht="15.75" customHeight="1">
      <c r="A381" s="33">
        <v>207227.0</v>
      </c>
    </row>
    <row r="382" ht="15.75" customHeight="1">
      <c r="A382" s="33">
        <v>226178.0</v>
      </c>
    </row>
    <row r="383" ht="15.75" customHeight="1">
      <c r="A383" s="33">
        <v>206025.0</v>
      </c>
    </row>
    <row r="384" ht="15.75" customHeight="1">
      <c r="A384" s="33">
        <v>219902.0</v>
      </c>
    </row>
    <row r="385" ht="15.75" customHeight="1">
      <c r="A385" s="33">
        <v>205923.0</v>
      </c>
    </row>
    <row r="386" ht="15.75" customHeight="1">
      <c r="A386" s="33">
        <v>213107.0</v>
      </c>
    </row>
    <row r="387" ht="15.75" customHeight="1">
      <c r="A387" s="33">
        <v>214067.0</v>
      </c>
    </row>
    <row r="388" ht="15.75" customHeight="1">
      <c r="A388" s="33">
        <v>225729.0</v>
      </c>
    </row>
    <row r="389" ht="15.75" customHeight="1">
      <c r="A389" s="33">
        <v>205820.0</v>
      </c>
    </row>
    <row r="390" ht="15.75" customHeight="1">
      <c r="A390" s="33">
        <v>207852.0</v>
      </c>
    </row>
    <row r="391" ht="15.75" customHeight="1">
      <c r="A391" s="33">
        <v>211547.0</v>
      </c>
    </row>
    <row r="392" ht="15.75" customHeight="1">
      <c r="A392" s="33">
        <v>218909.0</v>
      </c>
    </row>
    <row r="393" ht="15.75" customHeight="1">
      <c r="A393" s="33">
        <v>166251.0</v>
      </c>
    </row>
    <row r="394" ht="15.75" customHeight="1">
      <c r="A394" s="33">
        <v>205937.0</v>
      </c>
    </row>
    <row r="395" ht="15.75" customHeight="1">
      <c r="A395" s="33">
        <v>57150.0</v>
      </c>
    </row>
    <row r="396" ht="15.75" customHeight="1">
      <c r="A396" s="33">
        <v>152991.0</v>
      </c>
    </row>
    <row r="397" ht="15.75" customHeight="1">
      <c r="A397" s="33">
        <v>207849.0</v>
      </c>
    </row>
    <row r="398" ht="15.75" customHeight="1">
      <c r="A398" s="33">
        <v>210842.0</v>
      </c>
    </row>
    <row r="399" ht="15.75" customHeight="1">
      <c r="A399" s="33">
        <v>204698.0</v>
      </c>
    </row>
    <row r="400" ht="15.75" customHeight="1">
      <c r="A400" s="33">
        <v>206086.0</v>
      </c>
    </row>
    <row r="401" ht="15.75" customHeight="1">
      <c r="A401" s="33">
        <v>225589.0</v>
      </c>
    </row>
    <row r="402" ht="15.75" customHeight="1">
      <c r="A402" s="33">
        <v>225979.0</v>
      </c>
    </row>
    <row r="403" ht="15.75" customHeight="1">
      <c r="A403" s="33">
        <v>206036.0</v>
      </c>
    </row>
    <row r="404" ht="15.75" customHeight="1">
      <c r="A404" s="33">
        <v>208020.0</v>
      </c>
    </row>
    <row r="405" ht="15.75" customHeight="1">
      <c r="A405" s="33">
        <v>206041.0</v>
      </c>
    </row>
    <row r="406" ht="15.75" customHeight="1">
      <c r="A406" s="33">
        <v>220499.0</v>
      </c>
    </row>
    <row r="407" ht="15.75" customHeight="1">
      <c r="A407" s="33">
        <v>225594.0</v>
      </c>
    </row>
    <row r="408" ht="15.75" customHeight="1">
      <c r="A408" s="33">
        <v>225944.0</v>
      </c>
    </row>
    <row r="409" ht="15.75" customHeight="1">
      <c r="A409" s="33">
        <v>207934.0</v>
      </c>
    </row>
    <row r="410" ht="15.75" customHeight="1">
      <c r="A410" s="33">
        <v>225600.0</v>
      </c>
    </row>
    <row r="411" ht="15.75" customHeight="1">
      <c r="A411" s="33">
        <v>225890.0</v>
      </c>
    </row>
    <row r="412" ht="15.75" customHeight="1">
      <c r="A412" s="33">
        <v>204700.0</v>
      </c>
    </row>
    <row r="413" ht="15.75" customHeight="1">
      <c r="A413" s="33">
        <v>223351.0</v>
      </c>
    </row>
    <row r="414" ht="15.75" customHeight="1">
      <c r="A414" s="33">
        <v>213358.0</v>
      </c>
    </row>
    <row r="415" ht="15.75" customHeight="1">
      <c r="A415" s="33">
        <v>213537.0</v>
      </c>
    </row>
    <row r="416" ht="15.75" customHeight="1">
      <c r="A416" s="33">
        <v>213702.0</v>
      </c>
    </row>
    <row r="417" ht="15.75" customHeight="1">
      <c r="A417" s="33">
        <v>207933.0</v>
      </c>
    </row>
    <row r="418" ht="15.75" customHeight="1">
      <c r="A418" s="33">
        <v>211403.0</v>
      </c>
    </row>
    <row r="419" ht="15.75" customHeight="1">
      <c r="A419" s="33">
        <v>207175.0</v>
      </c>
    </row>
    <row r="420" ht="15.75" customHeight="1">
      <c r="A420" s="33">
        <v>210843.0</v>
      </c>
    </row>
    <row r="421" ht="15.75" customHeight="1">
      <c r="A421" s="33">
        <v>231275.0</v>
      </c>
    </row>
    <row r="422" ht="15.75" customHeight="1">
      <c r="A422" s="33">
        <v>225717.0</v>
      </c>
    </row>
    <row r="423" ht="15.75" customHeight="1">
      <c r="A423" s="33">
        <v>204704.0</v>
      </c>
    </row>
    <row r="424" ht="15.75" customHeight="1">
      <c r="A424" s="33">
        <v>207198.0</v>
      </c>
    </row>
    <row r="425" ht="15.75" customHeight="1">
      <c r="A425" s="33">
        <v>205936.0</v>
      </c>
    </row>
    <row r="426" ht="15.75" customHeight="1">
      <c r="A426" s="33">
        <v>210400.0</v>
      </c>
    </row>
    <row r="427" ht="15.75" customHeight="1">
      <c r="A427" s="33">
        <v>171169.0</v>
      </c>
    </row>
    <row r="428" ht="15.75" customHeight="1">
      <c r="A428" s="33">
        <v>225643.0</v>
      </c>
    </row>
    <row r="429" ht="15.75" customHeight="1">
      <c r="A429" s="33">
        <v>207472.0</v>
      </c>
    </row>
    <row r="430" ht="15.75" customHeight="1">
      <c r="A430" s="33">
        <v>169349.0</v>
      </c>
    </row>
    <row r="431" ht="15.75" customHeight="1">
      <c r="A431" s="33">
        <v>225746.0</v>
      </c>
    </row>
    <row r="432" ht="15.75" customHeight="1">
      <c r="A432" s="33">
        <v>207145.0</v>
      </c>
    </row>
    <row r="433" ht="15.75" customHeight="1">
      <c r="A433" s="33">
        <v>225582.0</v>
      </c>
    </row>
    <row r="434" ht="15.75" customHeight="1">
      <c r="A434" s="33">
        <v>223361.0</v>
      </c>
    </row>
    <row r="435" ht="15.75" customHeight="1">
      <c r="A435" s="33">
        <v>213022.0</v>
      </c>
    </row>
    <row r="436" ht="15.75" customHeight="1">
      <c r="A436" s="33">
        <v>223374.0</v>
      </c>
    </row>
    <row r="437" ht="15.75" customHeight="1">
      <c r="A437" s="33">
        <v>213067.0</v>
      </c>
    </row>
    <row r="438" ht="15.75" customHeight="1">
      <c r="A438" s="33">
        <v>207156.0</v>
      </c>
    </row>
    <row r="439" ht="15.75" customHeight="1">
      <c r="A439" s="33">
        <v>152895.0</v>
      </c>
    </row>
    <row r="440" ht="15.75" customHeight="1">
      <c r="A440" s="33">
        <v>207201.0</v>
      </c>
    </row>
    <row r="441" ht="15.75" customHeight="1">
      <c r="A441" s="33">
        <v>207848.0</v>
      </c>
    </row>
    <row r="442" ht="15.75" customHeight="1">
      <c r="A442" s="33">
        <v>228098.0</v>
      </c>
    </row>
    <row r="443" ht="15.75" customHeight="1">
      <c r="A443" s="33">
        <v>225587.0</v>
      </c>
    </row>
    <row r="444" ht="15.75" customHeight="1">
      <c r="A444" s="33">
        <v>205850.0</v>
      </c>
    </row>
    <row r="445" ht="15.75" customHeight="1">
      <c r="A445" s="33">
        <v>225902.0</v>
      </c>
    </row>
    <row r="446" ht="15.75" customHeight="1">
      <c r="A446" s="33">
        <v>207155.0</v>
      </c>
    </row>
    <row r="447" ht="15.75" customHeight="1">
      <c r="A447" s="33">
        <v>230880.0</v>
      </c>
    </row>
    <row r="448" ht="15.75" customHeight="1">
      <c r="A448" s="33">
        <v>213021.0</v>
      </c>
    </row>
    <row r="449" ht="15.75" customHeight="1">
      <c r="A449" s="33">
        <v>187128.0</v>
      </c>
    </row>
    <row r="450" ht="15.75" customHeight="1">
      <c r="A450" s="33">
        <v>146191.0</v>
      </c>
    </row>
    <row r="451" ht="15.75" customHeight="1">
      <c r="A451" s="33">
        <v>208927.0</v>
      </c>
    </row>
    <row r="452" ht="15.75" customHeight="1">
      <c r="A452" s="33">
        <v>207397.0</v>
      </c>
    </row>
    <row r="453" ht="15.75" customHeight="1">
      <c r="A453" s="33">
        <v>213027.0</v>
      </c>
    </row>
    <row r="454" ht="15.75" customHeight="1">
      <c r="A454" s="33">
        <v>207144.0</v>
      </c>
    </row>
    <row r="455" ht="15.75" customHeight="1">
      <c r="A455" s="33">
        <v>225718.0</v>
      </c>
    </row>
    <row r="456" ht="15.75" customHeight="1">
      <c r="A456" s="33">
        <v>207238.0</v>
      </c>
    </row>
    <row r="457" ht="15.75" customHeight="1">
      <c r="A457" s="33">
        <v>223122.0</v>
      </c>
    </row>
    <row r="458" ht="15.75" customHeight="1">
      <c r="A458" s="33">
        <v>207759.0</v>
      </c>
    </row>
    <row r="459" ht="15.75" customHeight="1">
      <c r="A459" s="33">
        <v>225586.0</v>
      </c>
    </row>
    <row r="460" ht="15.75" customHeight="1">
      <c r="A460" s="33">
        <v>212987.0</v>
      </c>
    </row>
    <row r="461" ht="15.75" customHeight="1">
      <c r="A461" s="33">
        <v>214035.0</v>
      </c>
    </row>
    <row r="462" ht="15.75" customHeight="1">
      <c r="A462" s="33">
        <v>225903.0</v>
      </c>
    </row>
    <row r="463" ht="15.75" customHeight="1">
      <c r="A463" s="33">
        <v>222405.0</v>
      </c>
    </row>
    <row r="464" ht="15.75" customHeight="1">
      <c r="A464" s="33">
        <v>146553.0</v>
      </c>
    </row>
    <row r="465" ht="15.75" customHeight="1">
      <c r="A465" s="33">
        <v>213509.0</v>
      </c>
    </row>
    <row r="466" ht="15.75" customHeight="1">
      <c r="A466" s="33">
        <v>204752.0</v>
      </c>
    </row>
    <row r="467" ht="15.75" customHeight="1">
      <c r="A467" s="33">
        <v>213512.0</v>
      </c>
    </row>
    <row r="468" ht="15.75" customHeight="1">
      <c r="A468" s="33">
        <v>214039.0</v>
      </c>
    </row>
    <row r="469" ht="15.75" customHeight="1">
      <c r="A469" s="33">
        <v>146552.0</v>
      </c>
    </row>
    <row r="470" ht="15.75" customHeight="1">
      <c r="A470" s="33">
        <v>225776.0</v>
      </c>
    </row>
    <row r="471" ht="15.75" customHeight="1">
      <c r="A471" s="33">
        <v>204711.0</v>
      </c>
    </row>
    <row r="472" ht="15.75" customHeight="1">
      <c r="A472" s="33">
        <v>213518.0</v>
      </c>
    </row>
    <row r="473" ht="15.75" customHeight="1">
      <c r="A473" s="33">
        <v>213232.0</v>
      </c>
    </row>
    <row r="474" ht="15.75" customHeight="1">
      <c r="A474" s="33">
        <v>204645.0</v>
      </c>
    </row>
    <row r="475" ht="15.75" customHeight="1">
      <c r="A475" s="33">
        <v>213233.0</v>
      </c>
    </row>
    <row r="476" ht="15.75" customHeight="1">
      <c r="A476" s="33">
        <v>211550.0</v>
      </c>
    </row>
    <row r="477" ht="15.75" customHeight="1">
      <c r="A477" s="33">
        <v>225721.0</v>
      </c>
    </row>
    <row r="478" ht="15.75" customHeight="1">
      <c r="A478" s="33">
        <v>220107.0</v>
      </c>
    </row>
    <row r="479" ht="15.75" customHeight="1">
      <c r="A479" s="33">
        <v>214040.0</v>
      </c>
    </row>
    <row r="480" ht="15.75" customHeight="1">
      <c r="A480" s="33">
        <v>225558.0</v>
      </c>
    </row>
    <row r="481" ht="15.75" customHeight="1">
      <c r="A481" s="33">
        <v>216650.0</v>
      </c>
    </row>
    <row r="482" ht="15.75" customHeight="1">
      <c r="A482" s="33">
        <v>231233.0</v>
      </c>
    </row>
    <row r="483" ht="15.75" customHeight="1">
      <c r="A483" s="33">
        <v>213170.0</v>
      </c>
    </row>
    <row r="484" ht="15.75" customHeight="1">
      <c r="A484" s="33">
        <v>225565.0</v>
      </c>
    </row>
    <row r="485" ht="15.75" customHeight="1">
      <c r="A485" s="33">
        <v>106232.0</v>
      </c>
    </row>
    <row r="486" ht="15.75" customHeight="1">
      <c r="A486" s="33">
        <v>205921.0</v>
      </c>
    </row>
    <row r="487" ht="15.75" customHeight="1">
      <c r="A487" s="33">
        <v>204714.0</v>
      </c>
    </row>
    <row r="488" ht="15.75" customHeight="1">
      <c r="A488" s="33">
        <v>231178.0</v>
      </c>
    </row>
    <row r="489" ht="15.75" customHeight="1">
      <c r="A489" s="33">
        <v>223357.0</v>
      </c>
    </row>
    <row r="490" ht="15.75" customHeight="1">
      <c r="A490" s="33">
        <v>240043.0</v>
      </c>
    </row>
    <row r="491" ht="15.75" customHeight="1">
      <c r="A491" s="33">
        <v>207154.0</v>
      </c>
    </row>
    <row r="492" ht="15.75" customHeight="1">
      <c r="A492" s="33">
        <v>213070.0</v>
      </c>
    </row>
    <row r="493" ht="15.75" customHeight="1">
      <c r="A493" s="33">
        <v>220113.0</v>
      </c>
    </row>
    <row r="494" ht="15.75" customHeight="1">
      <c r="A494" s="33">
        <v>225897.0</v>
      </c>
    </row>
    <row r="495" ht="15.75" customHeight="1">
      <c r="A495" s="33">
        <v>205912.0</v>
      </c>
    </row>
    <row r="496" ht="15.75" customHeight="1">
      <c r="A496" s="33">
        <v>217614.0</v>
      </c>
    </row>
    <row r="497" ht="15.75" customHeight="1">
      <c r="A497" s="33">
        <v>223915.0</v>
      </c>
    </row>
    <row r="498" ht="15.75" customHeight="1">
      <c r="A498" s="33">
        <v>207972.0</v>
      </c>
    </row>
    <row r="499" ht="15.75" customHeight="1">
      <c r="A499" s="33">
        <v>213699.0</v>
      </c>
    </row>
    <row r="500" ht="15.75" customHeight="1">
      <c r="A500" s="33">
        <v>225892.0</v>
      </c>
    </row>
    <row r="501" ht="15.75" customHeight="1">
      <c r="A501" s="33">
        <v>225932.0</v>
      </c>
    </row>
    <row r="502" ht="15.75" customHeight="1">
      <c r="A502" s="33">
        <v>204644.0</v>
      </c>
    </row>
    <row r="503" ht="15.75" customHeight="1">
      <c r="A503" s="33">
        <v>225569.0</v>
      </c>
    </row>
    <row r="504" ht="15.75" customHeight="1">
      <c r="A504" s="33">
        <v>225701.0</v>
      </c>
    </row>
    <row r="505" ht="15.75" customHeight="1">
      <c r="A505" s="33">
        <v>225577.0</v>
      </c>
    </row>
    <row r="506" ht="15.75" customHeight="1">
      <c r="A506" s="33">
        <v>207196.0</v>
      </c>
    </row>
    <row r="507" ht="15.75" customHeight="1">
      <c r="A507" s="33">
        <v>207142.0</v>
      </c>
    </row>
    <row r="508" ht="15.75" customHeight="1">
      <c r="A508" s="33">
        <v>223726.0</v>
      </c>
    </row>
    <row r="509" ht="15.75" customHeight="1">
      <c r="A509" s="33">
        <v>226235.0</v>
      </c>
    </row>
    <row r="510" ht="15.75" customHeight="1">
      <c r="A510" s="33">
        <v>238440.0</v>
      </c>
    </row>
    <row r="511" ht="15.75" customHeight="1">
      <c r="A511" s="33">
        <v>226244.0</v>
      </c>
    </row>
    <row r="512" ht="15.75" customHeight="1">
      <c r="A512" s="33">
        <v>226213.0</v>
      </c>
    </row>
    <row r="513" ht="15.75" customHeight="1">
      <c r="A513" s="33">
        <v>228030.0</v>
      </c>
    </row>
    <row r="514" ht="15.75" customHeight="1">
      <c r="A514" s="33">
        <v>226216.0</v>
      </c>
    </row>
    <row r="515" ht="15.75" customHeight="1">
      <c r="A515" s="33">
        <v>230873.0</v>
      </c>
    </row>
    <row r="516" ht="15.75" customHeight="1">
      <c r="A516" s="33">
        <v>206001.0</v>
      </c>
    </row>
    <row r="517" ht="15.75" customHeight="1">
      <c r="A517" s="33">
        <v>217145.0</v>
      </c>
    </row>
    <row r="518" ht="15.75" customHeight="1">
      <c r="A518" s="33">
        <v>207851.0</v>
      </c>
    </row>
    <row r="519" ht="15.75" customHeight="1">
      <c r="A519" s="33">
        <v>240205.0</v>
      </c>
    </row>
    <row r="520" ht="15.75" customHeight="1">
      <c r="A520" s="33">
        <v>228276.0</v>
      </c>
    </row>
    <row r="521" ht="15.75" customHeight="1">
      <c r="A521" s="33">
        <v>225953.0</v>
      </c>
    </row>
    <row r="522" ht="15.75" customHeight="1">
      <c r="A522" s="33">
        <v>211686.0</v>
      </c>
    </row>
    <row r="523" ht="15.75" customHeight="1">
      <c r="A523" s="33">
        <v>225616.0</v>
      </c>
    </row>
    <row r="524" ht="15.75" customHeight="1">
      <c r="A524" s="33">
        <v>225656.0</v>
      </c>
    </row>
    <row r="525" ht="15.75" customHeight="1">
      <c r="A525" s="33">
        <v>205827.0</v>
      </c>
    </row>
    <row r="526" ht="15.75" customHeight="1">
      <c r="A526" s="33">
        <v>211601.0</v>
      </c>
    </row>
    <row r="527" ht="15.75" customHeight="1">
      <c r="A527" s="33">
        <v>160466.0</v>
      </c>
    </row>
    <row r="528" ht="15.75" customHeight="1">
      <c r="A528" s="33">
        <v>225821.0</v>
      </c>
    </row>
    <row r="529" ht="15.75" customHeight="1">
      <c r="A529" s="33">
        <v>227670.0</v>
      </c>
    </row>
    <row r="530" ht="15.75" customHeight="1">
      <c r="A530" s="33">
        <v>225699.0</v>
      </c>
    </row>
    <row r="531" ht="15.75" customHeight="1">
      <c r="A531" s="33">
        <v>205826.0</v>
      </c>
    </row>
    <row r="532" ht="15.75" customHeight="1">
      <c r="A532" s="33">
        <v>206051.0</v>
      </c>
    </row>
    <row r="533" ht="15.75" customHeight="1">
      <c r="A533" s="33">
        <v>212432.0</v>
      </c>
    </row>
    <row r="534" ht="15.75" customHeight="1">
      <c r="A534" s="33">
        <v>227746.0</v>
      </c>
    </row>
    <row r="535" ht="15.75" customHeight="1">
      <c r="A535" s="33">
        <v>205898.0</v>
      </c>
    </row>
    <row r="536" ht="15.75" customHeight="1">
      <c r="A536" s="33">
        <v>225906.0</v>
      </c>
    </row>
    <row r="537" ht="15.75" customHeight="1">
      <c r="A537" s="33">
        <v>225601.0</v>
      </c>
    </row>
    <row r="538" ht="15.75" customHeight="1">
      <c r="A538" s="33">
        <v>213146.0</v>
      </c>
    </row>
    <row r="539" ht="15.75" customHeight="1">
      <c r="A539" s="33">
        <v>225618.0</v>
      </c>
    </row>
    <row r="540" ht="15.75" customHeight="1">
      <c r="A540" s="33">
        <v>205900.0</v>
      </c>
    </row>
    <row r="541" ht="15.75" customHeight="1">
      <c r="A541" s="33">
        <v>212013.0</v>
      </c>
    </row>
    <row r="542" ht="15.75" customHeight="1">
      <c r="A542" s="33">
        <v>207168.0</v>
      </c>
    </row>
    <row r="543" ht="15.75" customHeight="1">
      <c r="A543" s="33">
        <v>119704.0</v>
      </c>
    </row>
    <row r="544" ht="15.75" customHeight="1">
      <c r="A544" s="33">
        <v>213065.0</v>
      </c>
    </row>
    <row r="545" ht="15.75" customHeight="1">
      <c r="A545" s="33">
        <v>223925.0</v>
      </c>
    </row>
    <row r="546" ht="15.75" customHeight="1">
      <c r="A546" s="33">
        <v>155880.0</v>
      </c>
    </row>
    <row r="547" ht="15.75" customHeight="1">
      <c r="A547" s="33">
        <v>226339.0</v>
      </c>
    </row>
    <row r="548" ht="15.75" customHeight="1">
      <c r="A548" s="33">
        <v>207138.0</v>
      </c>
    </row>
    <row r="549" ht="15.75" customHeight="1">
      <c r="A549" s="33">
        <v>207236.0</v>
      </c>
    </row>
    <row r="550" ht="15.75" customHeight="1">
      <c r="A550" s="33">
        <v>207239.0</v>
      </c>
    </row>
    <row r="551" ht="15.75" customHeight="1">
      <c r="A551" s="33">
        <v>225918.0</v>
      </c>
    </row>
    <row r="552" ht="15.75" customHeight="1">
      <c r="A552" s="33">
        <v>167690.0</v>
      </c>
    </row>
    <row r="553" ht="15.75" customHeight="1">
      <c r="A553" s="33">
        <v>207245.0</v>
      </c>
    </row>
    <row r="554" ht="15.75" customHeight="1">
      <c r="A554" s="33">
        <v>97616.0</v>
      </c>
    </row>
    <row r="555" ht="15.75" customHeight="1">
      <c r="A555" s="33">
        <v>225907.0</v>
      </c>
    </row>
    <row r="556" ht="15.75" customHeight="1">
      <c r="A556" s="33">
        <v>204705.0</v>
      </c>
    </row>
    <row r="557" ht="15.75" customHeight="1">
      <c r="A557" s="33">
        <v>208482.0</v>
      </c>
    </row>
    <row r="558" ht="15.75" customHeight="1">
      <c r="A558" s="33">
        <v>218532.0</v>
      </c>
    </row>
    <row r="559" ht="15.75" customHeight="1">
      <c r="A559" s="33">
        <v>237434.0</v>
      </c>
    </row>
    <row r="560" ht="15.75" customHeight="1">
      <c r="A560" s="33">
        <v>221612.0</v>
      </c>
    </row>
    <row r="561" ht="15.75" customHeight="1">
      <c r="A561" s="33">
        <v>225737.0</v>
      </c>
    </row>
    <row r="562" ht="15.75" customHeight="1">
      <c r="A562" s="33">
        <v>225935.0</v>
      </c>
    </row>
    <row r="563" ht="15.75" customHeight="1">
      <c r="A563" s="33">
        <v>225736.0</v>
      </c>
    </row>
    <row r="564" ht="15.75" customHeight="1">
      <c r="A564" s="33">
        <v>205913.0</v>
      </c>
    </row>
    <row r="565" ht="15.75" customHeight="1">
      <c r="A565" s="33">
        <v>205999.0</v>
      </c>
    </row>
    <row r="566" ht="15.75" customHeight="1">
      <c r="A566" s="33">
        <v>204709.0</v>
      </c>
    </row>
    <row r="567" ht="15.75" customHeight="1">
      <c r="A567" s="33">
        <v>207278.0</v>
      </c>
    </row>
    <row r="568" ht="15.75" customHeight="1">
      <c r="A568" s="33">
        <v>225617.0</v>
      </c>
    </row>
    <row r="569" ht="15.75" customHeight="1">
      <c r="A569" s="33">
        <v>154196.0</v>
      </c>
    </row>
    <row r="570" ht="15.75" customHeight="1">
      <c r="A570" s="33">
        <v>207202.0</v>
      </c>
    </row>
    <row r="571" ht="15.75" customHeight="1">
      <c r="A571" s="33">
        <v>238434.0</v>
      </c>
    </row>
    <row r="572" ht="15.75" customHeight="1">
      <c r="A572" s="33">
        <v>207855.0</v>
      </c>
    </row>
    <row r="573" ht="15.75" customHeight="1">
      <c r="A573" s="33">
        <v>207756.0</v>
      </c>
    </row>
    <row r="574" ht="15.75" customHeight="1">
      <c r="A574" s="33">
        <v>221360.0</v>
      </c>
    </row>
    <row r="575" ht="15.75" customHeight="1">
      <c r="A575" s="33">
        <v>226230.0</v>
      </c>
    </row>
    <row r="576" ht="15.75" customHeight="1">
      <c r="A576" s="33">
        <v>213025.0</v>
      </c>
    </row>
    <row r="577" ht="15.75" customHeight="1">
      <c r="A577" s="33">
        <v>236275.0</v>
      </c>
    </row>
    <row r="578" ht="15.75" customHeight="1">
      <c r="A578" s="33">
        <v>214044.0</v>
      </c>
    </row>
    <row r="579" ht="15.75" customHeight="1">
      <c r="A579" s="33">
        <v>214074.0</v>
      </c>
    </row>
    <row r="580" ht="15.75" customHeight="1">
      <c r="A580" s="33">
        <v>240058.0</v>
      </c>
    </row>
    <row r="581" ht="15.75" customHeight="1">
      <c r="A581" s="33">
        <v>200871.0</v>
      </c>
    </row>
    <row r="582" ht="15.75" customHeight="1">
      <c r="A582" s="33">
        <v>206048.0</v>
      </c>
    </row>
    <row r="583" ht="15.75" customHeight="1">
      <c r="A583" s="33">
        <v>227751.0</v>
      </c>
    </row>
    <row r="584" ht="15.75" customHeight="1">
      <c r="A584" s="33">
        <v>207131.0</v>
      </c>
    </row>
    <row r="585" ht="15.75" customHeight="1">
      <c r="A585" s="33">
        <v>225766.0</v>
      </c>
    </row>
    <row r="586" ht="15.75" customHeight="1">
      <c r="A586" s="33">
        <v>207188.0</v>
      </c>
    </row>
    <row r="587" ht="15.75" customHeight="1">
      <c r="A587" s="33">
        <v>211548.0</v>
      </c>
    </row>
    <row r="588" ht="15.75" customHeight="1">
      <c r="A588" s="33">
        <v>207203.0</v>
      </c>
    </row>
    <row r="589" ht="15.75" customHeight="1">
      <c r="A589" s="33">
        <v>207189.0</v>
      </c>
    </row>
    <row r="590" ht="15.75" customHeight="1">
      <c r="A590" s="33">
        <v>205935.0</v>
      </c>
    </row>
    <row r="591" ht="15.75" customHeight="1">
      <c r="A591" s="33">
        <v>211673.0</v>
      </c>
    </row>
    <row r="592" ht="15.75" customHeight="1">
      <c r="A592" s="33">
        <v>226182.0</v>
      </c>
    </row>
    <row r="593" ht="15.75" customHeight="1">
      <c r="A593" s="33">
        <v>207240.0</v>
      </c>
    </row>
    <row r="594" ht="15.75" customHeight="1">
      <c r="A594" s="33">
        <v>213064.0</v>
      </c>
    </row>
    <row r="595" ht="15.75" customHeight="1">
      <c r="A595" s="33">
        <v>236881.0</v>
      </c>
    </row>
    <row r="596" ht="15.75" customHeight="1">
      <c r="A596" s="33">
        <v>204718.0</v>
      </c>
    </row>
    <row r="597" ht="15.75" customHeight="1">
      <c r="A597" s="33">
        <v>225529.0</v>
      </c>
    </row>
    <row r="598" ht="15.75" customHeight="1">
      <c r="A598" s="33">
        <v>213507.0</v>
      </c>
    </row>
    <row r="599" ht="15.75" customHeight="1">
      <c r="A599" s="33">
        <v>207158.0</v>
      </c>
    </row>
    <row r="600" ht="15.75" customHeight="1">
      <c r="A600" s="33">
        <v>178061.0</v>
      </c>
    </row>
    <row r="601" ht="15.75" customHeight="1">
      <c r="A601" s="33">
        <v>225745.0</v>
      </c>
    </row>
    <row r="602" ht="15.75" customHeight="1">
      <c r="A602" s="33">
        <v>172070.0</v>
      </c>
    </row>
    <row r="603" ht="15.75" customHeight="1">
      <c r="A603" s="33">
        <v>206377.0</v>
      </c>
    </row>
    <row r="604" ht="15.75" customHeight="1">
      <c r="A604" s="33">
        <v>155297.0</v>
      </c>
    </row>
    <row r="605" ht="15.75" customHeight="1">
      <c r="A605" s="33">
        <v>146706.0</v>
      </c>
    </row>
    <row r="606" ht="15.75" customHeight="1">
      <c r="A606" s="33">
        <v>225664.0</v>
      </c>
    </row>
    <row r="607" ht="15.75" customHeight="1">
      <c r="A607" s="33">
        <v>205916.0</v>
      </c>
    </row>
    <row r="608" ht="15.75" customHeight="1">
      <c r="A608" s="33">
        <v>223352.0</v>
      </c>
    </row>
    <row r="609" ht="15.75" customHeight="1">
      <c r="A609" s="33">
        <v>236462.0</v>
      </c>
    </row>
    <row r="610" ht="15.75" customHeight="1">
      <c r="A610" s="33">
        <v>207133.0</v>
      </c>
    </row>
    <row r="611" ht="15.75" customHeight="1">
      <c r="A611" s="33">
        <v>203567.0</v>
      </c>
    </row>
    <row r="612" ht="15.75" customHeight="1">
      <c r="A612" s="33">
        <v>226663.0</v>
      </c>
    </row>
    <row r="613" ht="15.75" customHeight="1">
      <c r="A613" s="33">
        <v>51004.0</v>
      </c>
    </row>
    <row r="614" ht="15.75" customHeight="1">
      <c r="A614" s="33">
        <v>225938.0</v>
      </c>
    </row>
    <row r="615" ht="15.75" customHeight="1">
      <c r="A615" s="33">
        <v>225568.0</v>
      </c>
    </row>
    <row r="616" ht="15.75" customHeight="1">
      <c r="A616" s="33">
        <v>204765.0</v>
      </c>
    </row>
    <row r="617" ht="15.75" customHeight="1">
      <c r="A617" s="33">
        <v>215484.0</v>
      </c>
    </row>
    <row r="618" ht="15.75" customHeight="1">
      <c r="A618" s="33">
        <v>207280.0</v>
      </c>
    </row>
    <row r="619" ht="15.75" customHeight="1">
      <c r="A619" s="34">
        <v>205796.0</v>
      </c>
    </row>
    <row r="620" ht="15.75" customHeight="1">
      <c r="A620" s="33">
        <v>149495.0</v>
      </c>
    </row>
    <row r="621" ht="15.75" customHeight="1">
      <c r="A621" s="33">
        <v>212008.0</v>
      </c>
    </row>
    <row r="622" ht="15.75" customHeight="1">
      <c r="A622" s="33">
        <v>214115.0</v>
      </c>
    </row>
    <row r="623" ht="15.75" customHeight="1">
      <c r="A623" s="33">
        <v>83801.0</v>
      </c>
    </row>
    <row r="624" ht="15.75" customHeight="1">
      <c r="A624" s="33">
        <v>205524.0</v>
      </c>
    </row>
    <row r="625" ht="15.75" customHeight="1">
      <c r="A625" s="33">
        <v>204770.0</v>
      </c>
    </row>
    <row r="626" ht="15.75" customHeight="1">
      <c r="A626" s="33">
        <v>225572.0</v>
      </c>
    </row>
    <row r="627" ht="15.75" customHeight="1">
      <c r="A627" s="33">
        <v>225947.0</v>
      </c>
    </row>
    <row r="628" ht="15.75" customHeight="1">
      <c r="A628" s="33">
        <v>211652.0</v>
      </c>
    </row>
    <row r="629" ht="15.75" customHeight="1">
      <c r="A629" s="33">
        <v>217079.0</v>
      </c>
    </row>
    <row r="630" ht="15.75" customHeight="1">
      <c r="A630" s="33">
        <v>207816.0</v>
      </c>
    </row>
    <row r="631" ht="15.75" customHeight="1">
      <c r="A631" s="33">
        <v>154200.0</v>
      </c>
    </row>
    <row r="632" ht="15.75" customHeight="1">
      <c r="A632" s="33">
        <v>207267.0</v>
      </c>
    </row>
    <row r="633" ht="15.75" customHeight="1">
      <c r="A633" s="33">
        <v>169181.0</v>
      </c>
    </row>
    <row r="634" ht="15.75" customHeight="1">
      <c r="A634" s="33">
        <v>152629.0</v>
      </c>
    </row>
    <row r="635" ht="15.75" customHeight="1">
      <c r="A635" s="33">
        <v>225723.0</v>
      </c>
    </row>
    <row r="636" ht="15.75" customHeight="1">
      <c r="A636" s="33">
        <v>225697.0</v>
      </c>
    </row>
    <row r="637" ht="15.75" customHeight="1">
      <c r="A637" s="33">
        <v>204677.0</v>
      </c>
    </row>
    <row r="638" ht="15.75" customHeight="1">
      <c r="A638" s="33">
        <v>214061.0</v>
      </c>
    </row>
    <row r="639" ht="15.75" customHeight="1">
      <c r="A639" s="33">
        <v>207139.0</v>
      </c>
    </row>
    <row r="640" ht="15.75" customHeight="1">
      <c r="A640" s="33">
        <v>223371.0</v>
      </c>
    </row>
    <row r="641" ht="15.75" customHeight="1">
      <c r="A641" s="33">
        <v>213058.0</v>
      </c>
    </row>
    <row r="642" ht="15.75" customHeight="1">
      <c r="A642" s="33">
        <v>225917.0</v>
      </c>
    </row>
    <row r="643" ht="15.75" customHeight="1">
      <c r="A643" s="33">
        <v>225726.0</v>
      </c>
    </row>
    <row r="644" ht="15.75" customHeight="1">
      <c r="A644" s="33">
        <v>223312.0</v>
      </c>
    </row>
    <row r="645" ht="15.75" customHeight="1">
      <c r="A645" s="33">
        <v>238043.0</v>
      </c>
    </row>
    <row r="646" ht="15.75" customHeight="1">
      <c r="A646" s="33">
        <v>225965.0</v>
      </c>
    </row>
    <row r="647" ht="15.75" customHeight="1">
      <c r="A647" s="33">
        <v>213729.0</v>
      </c>
    </row>
    <row r="648" ht="15.75" customHeight="1">
      <c r="A648" s="33">
        <v>225599.0</v>
      </c>
    </row>
    <row r="649" ht="15.75" customHeight="1">
      <c r="A649" s="33">
        <v>207137.0</v>
      </c>
    </row>
    <row r="650" ht="15.75" customHeight="1">
      <c r="A650" s="33">
        <v>213185.0</v>
      </c>
    </row>
    <row r="651" ht="15.75" customHeight="1">
      <c r="A651" s="33">
        <v>83542.0</v>
      </c>
    </row>
    <row r="652" ht="15.75" customHeight="1">
      <c r="A652" s="33">
        <v>210682.0</v>
      </c>
    </row>
    <row r="653" ht="15.75" customHeight="1">
      <c r="A653" s="33">
        <v>209576.0</v>
      </c>
    </row>
    <row r="654" ht="15.75" customHeight="1">
      <c r="A654" s="33">
        <v>225728.0</v>
      </c>
    </row>
    <row r="655" ht="15.75" customHeight="1">
      <c r="A655" s="33">
        <v>213171.0</v>
      </c>
    </row>
    <row r="656" ht="15.75" customHeight="1">
      <c r="A656" s="33">
        <v>204801.0</v>
      </c>
    </row>
    <row r="657" ht="15.75" customHeight="1">
      <c r="A657" s="33">
        <v>224822.0</v>
      </c>
    </row>
    <row r="658" ht="15.75" customHeight="1">
      <c r="A658" s="33">
        <v>214058.0</v>
      </c>
    </row>
    <row r="659" ht="15.75" customHeight="1">
      <c r="A659" s="33">
        <v>213625.0</v>
      </c>
    </row>
    <row r="660" ht="15.75" customHeight="1">
      <c r="A660" s="33">
        <v>205823.0</v>
      </c>
    </row>
    <row r="661" ht="15.75" customHeight="1">
      <c r="A661" s="33">
        <v>165748.0</v>
      </c>
    </row>
    <row r="662" ht="15.75" customHeight="1">
      <c r="A662" s="33">
        <v>204943.0</v>
      </c>
    </row>
    <row r="663" ht="15.75" customHeight="1">
      <c r="A663" s="33">
        <v>207266.0</v>
      </c>
    </row>
    <row r="664" ht="15.75" customHeight="1">
      <c r="A664" s="33">
        <v>163661.0</v>
      </c>
    </row>
    <row r="665" ht="15.75" customHeight="1">
      <c r="A665" s="33">
        <v>213804.0</v>
      </c>
    </row>
    <row r="666" ht="15.75" customHeight="1">
      <c r="A666" s="33">
        <v>207200.0</v>
      </c>
    </row>
    <row r="667" ht="15.75" customHeight="1">
      <c r="A667" s="33">
        <v>171554.0</v>
      </c>
    </row>
    <row r="668" ht="15.75" customHeight="1">
      <c r="A668" s="33">
        <v>55751.0</v>
      </c>
    </row>
    <row r="669" ht="15.75" customHeight="1">
      <c r="A669" s="33">
        <v>56570.0</v>
      </c>
    </row>
    <row r="670" ht="15.75" customHeight="1">
      <c r="A670" s="33">
        <v>165208.0</v>
      </c>
    </row>
    <row r="671" ht="15.75" customHeight="1">
      <c r="A671" s="33">
        <v>204703.0</v>
      </c>
    </row>
    <row r="672" ht="15.75" customHeight="1">
      <c r="A672" s="33">
        <v>222440.0</v>
      </c>
    </row>
    <row r="673" ht="15.75" customHeight="1">
      <c r="A673" s="33">
        <v>207136.0</v>
      </c>
    </row>
    <row r="674" ht="15.75" customHeight="1">
      <c r="A674" s="33">
        <v>213516.0</v>
      </c>
    </row>
    <row r="675" ht="15.75" customHeight="1">
      <c r="A675" s="33">
        <v>207197.0</v>
      </c>
    </row>
    <row r="676" ht="15.75" customHeight="1">
      <c r="A676" s="33">
        <v>223363.0</v>
      </c>
    </row>
    <row r="677" ht="15.75" customHeight="1">
      <c r="A677" s="33">
        <v>225868.0</v>
      </c>
    </row>
    <row r="678" ht="15.75" customHeight="1">
      <c r="A678" s="33">
        <v>225884.0</v>
      </c>
    </row>
    <row r="679" ht="15.75" customHeight="1">
      <c r="A679" s="33">
        <v>224097.0</v>
      </c>
    </row>
    <row r="680" ht="15.75" customHeight="1">
      <c r="A680" s="33">
        <v>211650.0</v>
      </c>
    </row>
    <row r="681" ht="15.75" customHeight="1">
      <c r="A681" s="33">
        <v>226215.0</v>
      </c>
    </row>
    <row r="682" ht="15.75" customHeight="1">
      <c r="A682" s="33">
        <v>207194.0</v>
      </c>
    </row>
    <row r="683" ht="15.75" customHeight="1">
      <c r="A683" s="33">
        <v>206081.0</v>
      </c>
    </row>
    <row r="684" ht="15.75" customHeight="1">
      <c r="A684" s="33">
        <v>65102.0</v>
      </c>
    </row>
    <row r="685" ht="15.75" customHeight="1">
      <c r="A685" s="33">
        <v>199812.0</v>
      </c>
    </row>
    <row r="686" ht="15.75" customHeight="1">
      <c r="A686" s="33">
        <v>230735.0</v>
      </c>
    </row>
    <row r="687" ht="15.75" customHeight="1">
      <c r="A687" s="33">
        <v>149269.0</v>
      </c>
    </row>
    <row r="688" ht="15.75" customHeight="1">
      <c r="A688" s="33">
        <v>206868.0</v>
      </c>
    </row>
    <row r="689" ht="15.75" customHeight="1">
      <c r="A689" s="33">
        <v>206871.0</v>
      </c>
    </row>
    <row r="690" ht="15.75" customHeight="1">
      <c r="A690" s="33">
        <v>206872.0</v>
      </c>
    </row>
    <row r="691" ht="15.75" customHeight="1">
      <c r="A691" s="33">
        <v>223372.0</v>
      </c>
    </row>
    <row r="692" ht="15.75" customHeight="1">
      <c r="A692" s="33">
        <v>204717.0</v>
      </c>
    </row>
    <row r="693" ht="15.75" customHeight="1">
      <c r="A693" s="33">
        <v>158499.0</v>
      </c>
    </row>
    <row r="694" ht="15.75" customHeight="1">
      <c r="A694" s="33">
        <v>207205.0</v>
      </c>
    </row>
    <row r="695" ht="15.75" customHeight="1">
      <c r="A695" s="33">
        <v>226318.0</v>
      </c>
    </row>
    <row r="696" ht="15.75" customHeight="1">
      <c r="A696" s="33">
        <v>208571.0</v>
      </c>
    </row>
    <row r="697" ht="15.75" customHeight="1">
      <c r="A697" s="33">
        <v>169204.0</v>
      </c>
    </row>
    <row r="698" ht="15.75" customHeight="1">
      <c r="A698" s="33">
        <v>225864.0</v>
      </c>
    </row>
    <row r="699" ht="15.75" customHeight="1">
      <c r="A699" s="33">
        <v>36854.0</v>
      </c>
    </row>
    <row r="700" ht="15.75" customHeight="1">
      <c r="A700" s="33">
        <v>225693.0</v>
      </c>
    </row>
    <row r="701" ht="15.75" customHeight="1">
      <c r="A701" s="33">
        <v>168792.0</v>
      </c>
    </row>
    <row r="702" ht="15.75" customHeight="1">
      <c r="A702" s="33">
        <v>179709.0</v>
      </c>
    </row>
    <row r="703" ht="15.75" customHeight="1">
      <c r="A703" s="33">
        <v>96598.0</v>
      </c>
    </row>
    <row r="704" ht="15.75" customHeight="1">
      <c r="A704" s="33">
        <v>221426.0</v>
      </c>
    </row>
    <row r="705" ht="15.75" customHeight="1">
      <c r="A705" s="33">
        <v>236734.0</v>
      </c>
    </row>
    <row r="706" ht="15.75" customHeight="1">
      <c r="A706" s="33">
        <v>223354.0</v>
      </c>
    </row>
    <row r="707" ht="15.75" customHeight="1">
      <c r="A707" s="33">
        <v>226245.0</v>
      </c>
    </row>
    <row r="708" ht="15.75" customHeight="1">
      <c r="A708" s="33">
        <v>211573.0</v>
      </c>
    </row>
    <row r="709" ht="15.75" customHeight="1">
      <c r="A709" s="33">
        <v>211687.0</v>
      </c>
    </row>
    <row r="710" ht="15.75" customHeight="1">
      <c r="A710" s="33">
        <v>134764.0</v>
      </c>
    </row>
    <row r="711" ht="15.75" customHeight="1">
      <c r="A711" s="33">
        <v>237566.0</v>
      </c>
    </row>
    <row r="712" ht="15.75" customHeight="1">
      <c r="A712" s="33">
        <v>225596.0</v>
      </c>
    </row>
    <row r="713" ht="15.75" customHeight="1">
      <c r="A713" s="33">
        <v>226205.0</v>
      </c>
    </row>
    <row r="714" ht="15.75" customHeight="1">
      <c r="A714" s="33">
        <v>75450.0</v>
      </c>
    </row>
    <row r="715" ht="15.75" customHeight="1">
      <c r="A715" s="33">
        <v>214041.0</v>
      </c>
    </row>
    <row r="716" ht="15.75" customHeight="1">
      <c r="A716" s="33">
        <v>214038.0</v>
      </c>
    </row>
    <row r="717" ht="15.75" customHeight="1">
      <c r="A717" s="33">
        <v>217929.0</v>
      </c>
    </row>
    <row r="718" ht="15.75" customHeight="1">
      <c r="A718" s="33">
        <v>207152.0</v>
      </c>
    </row>
    <row r="719" ht="15.75" customHeight="1">
      <c r="A719" s="33">
        <v>198755.0</v>
      </c>
    </row>
    <row r="720" ht="15.75" customHeight="1">
      <c r="A720" s="33">
        <v>225885.0</v>
      </c>
    </row>
    <row r="721" ht="15.75" customHeight="1">
      <c r="A721" s="33">
        <v>225910.0</v>
      </c>
    </row>
    <row r="722" ht="15.75" customHeight="1">
      <c r="A722" s="33">
        <v>204769.0</v>
      </c>
    </row>
    <row r="723" ht="15.75" customHeight="1">
      <c r="A723" s="33">
        <v>223345.0</v>
      </c>
    </row>
    <row r="724" ht="15.75" customHeight="1">
      <c r="A724" s="33">
        <v>217144.0</v>
      </c>
    </row>
    <row r="725" ht="15.75" customHeight="1">
      <c r="A725" s="33">
        <v>204753.0</v>
      </c>
    </row>
    <row r="726" ht="15.75" customHeight="1">
      <c r="A726" s="33">
        <v>205829.0</v>
      </c>
    </row>
    <row r="727" ht="15.75" customHeight="1">
      <c r="A727" s="33">
        <v>97357.0</v>
      </c>
    </row>
    <row r="728" ht="15.75" customHeight="1">
      <c r="A728" s="33">
        <v>205825.0</v>
      </c>
    </row>
    <row r="729" ht="15.75" customHeight="1">
      <c r="A729" s="33">
        <v>226304.0</v>
      </c>
    </row>
    <row r="730" ht="15.75" customHeight="1">
      <c r="A730" s="33">
        <v>213172.0</v>
      </c>
    </row>
    <row r="731" ht="15.75" customHeight="1">
      <c r="A731" s="33">
        <v>213246.0</v>
      </c>
    </row>
    <row r="732" ht="15.75" customHeight="1">
      <c r="A732" s="33">
        <v>220712.0</v>
      </c>
    </row>
    <row r="733" ht="15.75" customHeight="1">
      <c r="A733" s="33">
        <v>227753.0</v>
      </c>
    </row>
    <row r="734" ht="15.75" customHeight="1">
      <c r="A734" s="33">
        <v>193561.0</v>
      </c>
    </row>
    <row r="735" ht="15.75" customHeight="1">
      <c r="A735" s="33">
        <v>210844.0</v>
      </c>
    </row>
    <row r="736" ht="15.75" customHeight="1">
      <c r="A736" s="33">
        <v>134364.0</v>
      </c>
    </row>
    <row r="737" ht="15.75" customHeight="1">
      <c r="A737" s="33">
        <v>56529.0</v>
      </c>
    </row>
    <row r="738" ht="15.75" customHeight="1">
      <c r="A738" s="33">
        <v>207176.0</v>
      </c>
    </row>
    <row r="739" ht="15.75" customHeight="1">
      <c r="A739" s="33">
        <v>206381.0</v>
      </c>
    </row>
    <row r="740" ht="15.75" customHeight="1">
      <c r="A740" s="33">
        <v>226290.0</v>
      </c>
    </row>
    <row r="741" ht="15.75" customHeight="1">
      <c r="A741" s="33">
        <v>225727.0</v>
      </c>
    </row>
    <row r="742" ht="15.75" customHeight="1">
      <c r="A742" s="33">
        <v>213508.0</v>
      </c>
    </row>
    <row r="743" ht="15.75" customHeight="1">
      <c r="A743" s="33">
        <v>179710.0</v>
      </c>
    </row>
    <row r="744" ht="15.75" customHeight="1">
      <c r="A744" s="33">
        <v>226227.0</v>
      </c>
    </row>
    <row r="745" ht="15.75" customHeight="1">
      <c r="A745" s="33">
        <v>205897.0</v>
      </c>
    </row>
    <row r="746" ht="15.75" customHeight="1">
      <c r="A746" s="33">
        <v>225581.0</v>
      </c>
    </row>
    <row r="747" ht="15.75" customHeight="1">
      <c r="A747" s="33">
        <v>140953.0</v>
      </c>
    </row>
    <row r="748" ht="15.75" customHeight="1">
      <c r="A748" s="33">
        <v>213551.0</v>
      </c>
    </row>
    <row r="749" ht="15.75" customHeight="1">
      <c r="A749" s="33">
        <v>211591.0</v>
      </c>
    </row>
    <row r="750" ht="15.75" customHeight="1">
      <c r="A750" s="33">
        <v>239375.0</v>
      </c>
    </row>
    <row r="751" ht="15.75" customHeight="1">
      <c r="A751" s="33">
        <v>213888.0</v>
      </c>
    </row>
    <row r="752" ht="15.75" customHeight="1">
      <c r="A752" s="33">
        <v>213521.0</v>
      </c>
    </row>
    <row r="753" ht="15.75" customHeight="1">
      <c r="A753" s="33">
        <v>212995.0</v>
      </c>
    </row>
    <row r="754" ht="15.75" customHeight="1">
      <c r="A754" s="33">
        <v>193562.0</v>
      </c>
    </row>
    <row r="755" ht="15.75" customHeight="1">
      <c r="A755" s="33">
        <v>207164.0</v>
      </c>
    </row>
    <row r="756" ht="15.75" customHeight="1">
      <c r="A756" s="33">
        <v>207935.0</v>
      </c>
    </row>
    <row r="757" ht="15.75" customHeight="1">
      <c r="A757" s="33">
        <v>207132.0</v>
      </c>
    </row>
    <row r="758" ht="15.75" customHeight="1">
      <c r="A758" s="33">
        <v>225773.0</v>
      </c>
    </row>
    <row r="759" ht="15.75" customHeight="1">
      <c r="A759" s="33">
        <v>207917.0</v>
      </c>
    </row>
    <row r="760" ht="15.75" customHeight="1">
      <c r="A760" s="33">
        <v>225658.0</v>
      </c>
    </row>
    <row r="761" ht="15.75" customHeight="1">
      <c r="A761" s="33">
        <v>238438.0</v>
      </c>
    </row>
    <row r="762" ht="15.75" customHeight="1">
      <c r="A762" s="33">
        <v>211096.0</v>
      </c>
    </row>
    <row r="763" ht="15.75" customHeight="1">
      <c r="A763" s="33">
        <v>230111.0</v>
      </c>
    </row>
    <row r="764" ht="15.75" customHeight="1">
      <c r="A764" s="33">
        <v>227536.0</v>
      </c>
    </row>
    <row r="765" ht="15.75" customHeight="1">
      <c r="A765" s="33">
        <v>211728.0</v>
      </c>
    </row>
    <row r="766" ht="15.75" customHeight="1">
      <c r="A766" s="33">
        <v>207143.0</v>
      </c>
    </row>
    <row r="767" ht="15.75" customHeight="1">
      <c r="A767" s="33">
        <v>226294.0</v>
      </c>
    </row>
    <row r="768" ht="15.75" customHeight="1">
      <c r="A768" s="33">
        <v>214060.0</v>
      </c>
    </row>
    <row r="769" ht="15.75" customHeight="1">
      <c r="A769" s="33">
        <v>227541.0</v>
      </c>
    </row>
    <row r="770" ht="15.75" customHeight="1">
      <c r="A770" s="33">
        <v>225246.0</v>
      </c>
    </row>
    <row r="771" ht="15.75" customHeight="1">
      <c r="A771" s="33">
        <v>153155.0</v>
      </c>
    </row>
    <row r="772" ht="15.75" customHeight="1">
      <c r="A772" s="33">
        <v>153156.0</v>
      </c>
    </row>
    <row r="773" ht="15.75" customHeight="1">
      <c r="A773" s="33">
        <v>206380.0</v>
      </c>
    </row>
    <row r="774" ht="15.75" customHeight="1">
      <c r="A774" s="33">
        <v>146167.0</v>
      </c>
    </row>
    <row r="775" ht="15.75" customHeight="1">
      <c r="A775" s="33">
        <v>204743.0</v>
      </c>
    </row>
    <row r="776" ht="15.75" customHeight="1">
      <c r="A776" s="33">
        <v>211472.0</v>
      </c>
    </row>
    <row r="777" ht="15.75" customHeight="1">
      <c r="A777" s="33">
        <v>154217.0</v>
      </c>
    </row>
    <row r="778" ht="15.75" customHeight="1">
      <c r="A778" s="33">
        <v>220170.0</v>
      </c>
    </row>
    <row r="779" ht="15.75" customHeight="1">
      <c r="A779" s="33">
        <v>207810.0</v>
      </c>
    </row>
    <row r="780" ht="15.75" customHeight="1">
      <c r="A780" s="33">
        <v>240234.0</v>
      </c>
    </row>
    <row r="781" ht="15.75" customHeight="1">
      <c r="A781" s="33">
        <v>204799.0</v>
      </c>
    </row>
    <row r="782" ht="15.75" customHeight="1">
      <c r="A782" s="33">
        <v>212191.0</v>
      </c>
    </row>
    <row r="783" ht="15.75" customHeight="1">
      <c r="A783" s="33">
        <v>230742.0</v>
      </c>
    </row>
    <row r="784" ht="15.75" customHeight="1">
      <c r="A784" s="33">
        <v>146678.0</v>
      </c>
    </row>
    <row r="785" ht="15.75" customHeight="1">
      <c r="A785" s="33">
        <v>227752.0</v>
      </c>
    </row>
    <row r="786" ht="15.75" customHeight="1">
      <c r="A786" s="33">
        <v>229580.0</v>
      </c>
    </row>
    <row r="787" ht="15.75" customHeight="1">
      <c r="A787" s="33">
        <v>208035.0</v>
      </c>
    </row>
    <row r="788" ht="15.75" customHeight="1">
      <c r="A788" s="33">
        <v>204766.0</v>
      </c>
    </row>
    <row r="789" ht="15.75" customHeight="1">
      <c r="A789" s="33">
        <v>210602.0</v>
      </c>
    </row>
    <row r="790" ht="15.75" customHeight="1">
      <c r="A790" s="33">
        <v>135947.0</v>
      </c>
    </row>
    <row r="791" ht="15.75" customHeight="1">
      <c r="A791" s="33">
        <v>225695.0</v>
      </c>
    </row>
    <row r="792" ht="15.75" customHeight="1">
      <c r="A792" s="33">
        <v>226309.0</v>
      </c>
    </row>
    <row r="793" ht="15.75" customHeight="1">
      <c r="A793" s="33">
        <v>56596.0</v>
      </c>
    </row>
    <row r="794" ht="15.75" customHeight="1">
      <c r="A794" s="33">
        <v>240199.0</v>
      </c>
    </row>
    <row r="795" ht="15.75" customHeight="1">
      <c r="A795" s="33">
        <v>225567.0</v>
      </c>
    </row>
    <row r="796" ht="15.75" customHeight="1">
      <c r="A796" s="33">
        <v>207151.0</v>
      </c>
    </row>
    <row r="797" ht="15.75" customHeight="1">
      <c r="A797" s="33">
        <v>211595.0</v>
      </c>
    </row>
    <row r="798" ht="15.75" customHeight="1">
      <c r="A798" s="33">
        <v>225722.0</v>
      </c>
    </row>
    <row r="799" ht="15.75" customHeight="1">
      <c r="A799" s="33">
        <v>153199.0</v>
      </c>
    </row>
    <row r="800" ht="15.75" customHeight="1">
      <c r="A800" s="33">
        <v>218505.0</v>
      </c>
    </row>
    <row r="801" ht="15.75" customHeight="1">
      <c r="A801" s="33">
        <v>213077.0</v>
      </c>
    </row>
    <row r="802" ht="15.75" customHeight="1">
      <c r="A802" s="33">
        <v>225660.0</v>
      </c>
    </row>
    <row r="803" ht="15.75" customHeight="1">
      <c r="A803" s="33">
        <v>206082.0</v>
      </c>
    </row>
    <row r="804" ht="15.75" customHeight="1">
      <c r="A804" s="33">
        <v>226282.0</v>
      </c>
    </row>
    <row r="805" ht="15.75" customHeight="1">
      <c r="A805" s="33">
        <v>118239.0</v>
      </c>
    </row>
    <row r="806" ht="15.75" customHeight="1">
      <c r="A806" s="33">
        <v>207796.0</v>
      </c>
    </row>
    <row r="807" ht="15.75" customHeight="1">
      <c r="A807" s="33">
        <v>50768.0</v>
      </c>
    </row>
    <row r="808" ht="15.75" customHeight="1">
      <c r="A808" s="33">
        <v>225725.0</v>
      </c>
    </row>
    <row r="809" ht="15.75" customHeight="1">
      <c r="A809" s="33">
        <v>207153.0</v>
      </c>
    </row>
    <row r="810" ht="15.75" customHeight="1">
      <c r="A810" s="33">
        <v>168948.0</v>
      </c>
    </row>
    <row r="811" ht="15.75" customHeight="1">
      <c r="A811" s="33">
        <v>201076.0</v>
      </c>
    </row>
    <row r="812" ht="15.75" customHeight="1">
      <c r="A812" s="33">
        <v>186801.0</v>
      </c>
    </row>
    <row r="813" ht="15.75" customHeight="1">
      <c r="A813" s="33">
        <v>219514.0</v>
      </c>
    </row>
    <row r="814" ht="15.75" customHeight="1">
      <c r="A814" s="33">
        <v>147140.0</v>
      </c>
    </row>
    <row r="815" ht="15.75" customHeight="1">
      <c r="A815" s="33">
        <v>205914.0</v>
      </c>
    </row>
    <row r="816" ht="15.75" customHeight="1">
      <c r="A816" s="33">
        <v>225655.0</v>
      </c>
    </row>
    <row r="817" ht="15.75" customHeight="1">
      <c r="A817" s="33">
        <v>225657.0</v>
      </c>
    </row>
    <row r="818" ht="15.75" customHeight="1">
      <c r="A818" s="33">
        <v>184088.0</v>
      </c>
    </row>
    <row r="819" ht="15.75" customHeight="1">
      <c r="A819" s="33">
        <v>151278.0</v>
      </c>
    </row>
    <row r="820" ht="15.75" customHeight="1">
      <c r="A820" s="33">
        <v>225528.0</v>
      </c>
    </row>
    <row r="821" ht="15.75" customHeight="1">
      <c r="A821" s="33">
        <v>215783.0</v>
      </c>
    </row>
    <row r="822" ht="15.75" customHeight="1">
      <c r="A822" s="33">
        <v>146551.0</v>
      </c>
    </row>
    <row r="823" ht="15.75" customHeight="1">
      <c r="A823" s="33">
        <v>227534.0</v>
      </c>
    </row>
    <row r="824" ht="15.75" customHeight="1">
      <c r="A824" s="33">
        <v>206093.0</v>
      </c>
    </row>
    <row r="825" ht="15.75" customHeight="1">
      <c r="A825" s="33">
        <v>211670.0</v>
      </c>
    </row>
    <row r="826" ht="15.75" customHeight="1">
      <c r="A826" s="33">
        <v>212011.0</v>
      </c>
    </row>
    <row r="827" ht="15.75" customHeight="1">
      <c r="A827" s="33">
        <v>207229.0</v>
      </c>
    </row>
    <row r="828" ht="15.75" customHeight="1">
      <c r="A828" s="33">
        <v>226254.0</v>
      </c>
    </row>
    <row r="829" ht="15.75" customHeight="1">
      <c r="A829" s="33">
        <v>220189.0</v>
      </c>
    </row>
    <row r="830" ht="15.75" customHeight="1">
      <c r="A830" s="33">
        <v>206061.0</v>
      </c>
    </row>
    <row r="831" ht="15.75" customHeight="1">
      <c r="A831" s="33">
        <v>211671.0</v>
      </c>
    </row>
    <row r="832" ht="15.75" customHeight="1">
      <c r="A832" s="33">
        <v>53783.0</v>
      </c>
    </row>
    <row r="833" ht="15.75" customHeight="1">
      <c r="A833" s="33">
        <v>207174.0</v>
      </c>
    </row>
    <row r="834" ht="15.75" customHeight="1">
      <c r="A834" s="33">
        <v>207215.0</v>
      </c>
    </row>
    <row r="835" ht="15.75" customHeight="1">
      <c r="A835" s="33">
        <v>224013.0</v>
      </c>
    </row>
    <row r="836" ht="15.75" customHeight="1">
      <c r="A836" s="33">
        <v>237273.0</v>
      </c>
    </row>
    <row r="837" ht="15.75" customHeight="1">
      <c r="A837" s="33">
        <v>174263.0</v>
      </c>
    </row>
    <row r="838" ht="15.75" customHeight="1">
      <c r="A838" s="33">
        <v>230882.0</v>
      </c>
    </row>
    <row r="839" ht="15.75" customHeight="1">
      <c r="A839" s="33">
        <v>57959.0</v>
      </c>
    </row>
    <row r="840" ht="15.75" customHeight="1">
      <c r="A840" s="33">
        <v>198754.0</v>
      </c>
    </row>
    <row r="841" ht="15.75" customHeight="1">
      <c r="A841" s="33">
        <v>218498.0</v>
      </c>
    </row>
    <row r="842" ht="15.75" customHeight="1">
      <c r="A842" s="33">
        <v>158177.0</v>
      </c>
    </row>
    <row r="843" ht="15.75" customHeight="1">
      <c r="A843" s="33">
        <v>207224.0</v>
      </c>
    </row>
    <row r="844" ht="15.75" customHeight="1">
      <c r="A844" s="33">
        <v>214118.0</v>
      </c>
    </row>
    <row r="845" ht="15.75" customHeight="1">
      <c r="A845" s="33">
        <v>205918.0</v>
      </c>
    </row>
    <row r="846" ht="15.75" customHeight="1">
      <c r="A846" s="33">
        <v>120287.0</v>
      </c>
    </row>
    <row r="847" ht="15.75" customHeight="1">
      <c r="A847" s="33">
        <v>225692.0</v>
      </c>
    </row>
    <row r="848" ht="15.75" customHeight="1">
      <c r="A848" s="33">
        <v>225980.0</v>
      </c>
    </row>
    <row r="849" ht="15.75" customHeight="1">
      <c r="A849" s="33">
        <v>225659.0</v>
      </c>
    </row>
    <row r="850" ht="15.75" customHeight="1">
      <c r="A850" s="33">
        <v>207217.0</v>
      </c>
    </row>
    <row r="851" ht="15.75" customHeight="1">
      <c r="A851" s="33">
        <v>205817.0</v>
      </c>
    </row>
    <row r="852" ht="15.75" customHeight="1">
      <c r="A852" s="33">
        <v>207170.0</v>
      </c>
    </row>
    <row r="853" ht="15.75" customHeight="1">
      <c r="A853" s="33">
        <v>89427.0</v>
      </c>
    </row>
    <row r="854" ht="15.75" customHeight="1">
      <c r="A854" s="33">
        <v>225212.0</v>
      </c>
    </row>
    <row r="855" ht="15.75" customHeight="1">
      <c r="A855" s="33">
        <v>175375.0</v>
      </c>
    </row>
    <row r="856" ht="15.75" customHeight="1">
      <c r="A856" s="33">
        <v>236272.0</v>
      </c>
    </row>
    <row r="857" ht="15.75" customHeight="1">
      <c r="A857" s="33">
        <v>206044.0</v>
      </c>
    </row>
    <row r="858" ht="15.75" customHeight="1">
      <c r="A858" s="33">
        <v>210638.0</v>
      </c>
    </row>
    <row r="859" ht="15.75" customHeight="1">
      <c r="A859" s="33">
        <v>207207.0</v>
      </c>
    </row>
    <row r="860" ht="15.75" customHeight="1">
      <c r="A860" s="33">
        <v>204749.0</v>
      </c>
    </row>
    <row r="861" ht="15.75" customHeight="1">
      <c r="A861" s="33">
        <v>204802.0</v>
      </c>
    </row>
    <row r="862" ht="15.75" customHeight="1">
      <c r="A862" s="33">
        <v>152987.0</v>
      </c>
    </row>
    <row r="863" ht="15.75" customHeight="1">
      <c r="A863" s="33">
        <v>230414.0</v>
      </c>
    </row>
    <row r="864" ht="15.75" customHeight="1">
      <c r="A864" s="33">
        <v>220190.0</v>
      </c>
    </row>
    <row r="865" ht="15.75" customHeight="1">
      <c r="A865" s="33">
        <v>226300.0</v>
      </c>
    </row>
    <row r="866" ht="15.75" customHeight="1">
      <c r="A866" s="33">
        <v>207799.0</v>
      </c>
    </row>
    <row r="867" ht="15.75" customHeight="1">
      <c r="A867" s="33">
        <v>207262.0</v>
      </c>
    </row>
    <row r="868" ht="15.75" customHeight="1">
      <c r="A868" s="33">
        <v>225685.0</v>
      </c>
    </row>
    <row r="869" ht="15.75" customHeight="1">
      <c r="A869" s="33">
        <v>151074.0</v>
      </c>
    </row>
    <row r="870" ht="15.75" customHeight="1">
      <c r="A870" s="33">
        <v>56600.0</v>
      </c>
    </row>
    <row r="871" ht="15.75" customHeight="1">
      <c r="A871" s="33">
        <v>212003.0</v>
      </c>
    </row>
    <row r="872" ht="15.75" customHeight="1">
      <c r="A872" s="33">
        <v>140023.0</v>
      </c>
    </row>
    <row r="873" ht="15.75" customHeight="1">
      <c r="A873" s="33">
        <v>208033.0</v>
      </c>
    </row>
    <row r="874" ht="15.75" customHeight="1">
      <c r="A874" s="33">
        <v>206389.0</v>
      </c>
    </row>
    <row r="875" ht="15.75" customHeight="1">
      <c r="A875" s="33">
        <v>211667.0</v>
      </c>
    </row>
    <row r="876" ht="15.75" customHeight="1">
      <c r="A876" s="33">
        <v>225920.0</v>
      </c>
    </row>
    <row r="877" ht="15.75" customHeight="1">
      <c r="A877" s="33">
        <v>171992.0</v>
      </c>
    </row>
    <row r="878" ht="15.75" customHeight="1">
      <c r="A878" s="33">
        <v>225911.0</v>
      </c>
    </row>
    <row r="879" ht="15.75" customHeight="1">
      <c r="A879" s="33">
        <v>211572.0</v>
      </c>
    </row>
    <row r="880" ht="15.75" customHeight="1">
      <c r="A880" s="33">
        <v>100412.0</v>
      </c>
    </row>
    <row r="881" ht="15.75" customHeight="1">
      <c r="A881" s="33">
        <v>225743.0</v>
      </c>
    </row>
    <row r="882" ht="15.75" customHeight="1">
      <c r="A882" s="33">
        <v>140951.0</v>
      </c>
    </row>
    <row r="883" ht="15.75" customHeight="1">
      <c r="A883" s="33">
        <v>225730.0</v>
      </c>
    </row>
    <row r="884" ht="15.75" customHeight="1">
      <c r="A884" s="33">
        <v>225772.0</v>
      </c>
    </row>
    <row r="885" ht="15.75" customHeight="1">
      <c r="A885" s="33">
        <v>225889.0</v>
      </c>
    </row>
    <row r="886" ht="15.75" customHeight="1">
      <c r="A886" s="33">
        <v>240233.0</v>
      </c>
    </row>
    <row r="887" ht="15.75" customHeight="1">
      <c r="A887" s="33">
        <v>226229.0</v>
      </c>
    </row>
    <row r="888" ht="15.75" customHeight="1">
      <c r="A888" s="33">
        <v>219830.0</v>
      </c>
    </row>
    <row r="889" ht="15.75" customHeight="1">
      <c r="A889" s="33">
        <v>207225.0</v>
      </c>
    </row>
    <row r="890" ht="15.75" customHeight="1">
      <c r="A890" s="33">
        <v>198753.0</v>
      </c>
    </row>
    <row r="891" ht="15.75" customHeight="1">
      <c r="A891" s="33">
        <v>207798.0</v>
      </c>
    </row>
    <row r="892" ht="15.75" customHeight="1">
      <c r="A892" s="33">
        <v>90182.0</v>
      </c>
    </row>
    <row r="893" ht="15.75" customHeight="1">
      <c r="A893" s="33">
        <v>225579.0</v>
      </c>
    </row>
    <row r="894" ht="15.75" customHeight="1">
      <c r="A894" s="33">
        <v>225591.0</v>
      </c>
    </row>
    <row r="895" ht="15.75" customHeight="1">
      <c r="A895" s="33">
        <v>230875.0</v>
      </c>
    </row>
    <row r="896" ht="15.75" customHeight="1">
      <c r="A896" s="33">
        <v>204647.0</v>
      </c>
    </row>
    <row r="897" ht="15.75" customHeight="1">
      <c r="A897" s="33">
        <v>225625.0</v>
      </c>
    </row>
    <row r="898" ht="15.75" customHeight="1">
      <c r="A898" s="33">
        <v>207199.0</v>
      </c>
    </row>
    <row r="899" ht="15.75" customHeight="1">
      <c r="A899" s="33">
        <v>75485.0</v>
      </c>
    </row>
    <row r="900" ht="15.75" customHeight="1">
      <c r="A900" s="33">
        <v>223356.0</v>
      </c>
    </row>
    <row r="901" ht="15.75" customHeight="1">
      <c r="A901" s="33">
        <v>211590.0</v>
      </c>
    </row>
    <row r="902" ht="15.75" customHeight="1">
      <c r="A902" s="33">
        <v>168731.0</v>
      </c>
    </row>
    <row r="903" ht="15.75" customHeight="1">
      <c r="A903" s="33">
        <v>213805.0</v>
      </c>
    </row>
    <row r="904" ht="15.75" customHeight="1">
      <c r="A904" s="33">
        <v>207791.0</v>
      </c>
    </row>
    <row r="905" ht="15.75" customHeight="1">
      <c r="A905" s="33">
        <v>227539.0</v>
      </c>
    </row>
    <row r="906" ht="15.75" customHeight="1">
      <c r="A906" s="33">
        <v>238845.0</v>
      </c>
    </row>
    <row r="907" ht="15.75" customHeight="1">
      <c r="A907" s="33">
        <v>200676.0</v>
      </c>
    </row>
    <row r="908" ht="15.75" customHeight="1">
      <c r="A908" s="33">
        <v>230874.0</v>
      </c>
    </row>
    <row r="909" ht="15.75" customHeight="1">
      <c r="A909" s="33">
        <v>210845.0</v>
      </c>
    </row>
    <row r="910" ht="15.75" customHeight="1">
      <c r="A910" s="33">
        <v>225923.0</v>
      </c>
    </row>
    <row r="911" ht="15.75" customHeight="1">
      <c r="A911" s="33">
        <v>225562.0</v>
      </c>
    </row>
    <row r="912" ht="15.75" customHeight="1">
      <c r="A912" s="33">
        <v>207171.0</v>
      </c>
    </row>
    <row r="913" ht="15.75" customHeight="1">
      <c r="A913" s="33">
        <v>152397.0</v>
      </c>
    </row>
    <row r="914" ht="15.75" customHeight="1">
      <c r="A914" s="33">
        <v>214062.0</v>
      </c>
    </row>
    <row r="915" ht="15.75" customHeight="1">
      <c r="A915" s="33">
        <v>225590.0</v>
      </c>
    </row>
    <row r="916" ht="15.75" customHeight="1">
      <c r="A916" s="33" t="s">
        <v>142</v>
      </c>
    </row>
    <row r="917" ht="15.75" customHeight="1">
      <c r="A917" s="33">
        <v>221420.0</v>
      </c>
    </row>
    <row r="918" ht="15.75" customHeight="1">
      <c r="A918" s="33">
        <v>213040.0</v>
      </c>
    </row>
    <row r="919" ht="15.75" customHeight="1">
      <c r="A919" s="33">
        <v>237782.0</v>
      </c>
    </row>
    <row r="920" ht="15.75" customHeight="1">
      <c r="A920" s="33">
        <v>225588.0</v>
      </c>
    </row>
    <row r="921" ht="15.75" customHeight="1">
      <c r="A921" s="33">
        <v>149747.0</v>
      </c>
    </row>
    <row r="922" ht="15.75" customHeight="1">
      <c r="A922" s="33">
        <v>211668.0</v>
      </c>
    </row>
    <row r="923" ht="15.75" customHeight="1">
      <c r="A923" s="33">
        <v>226285.0</v>
      </c>
    </row>
    <row r="924" ht="15.75" customHeight="1">
      <c r="A924" s="33">
        <v>240225.0</v>
      </c>
    </row>
    <row r="925" ht="15.75" customHeight="1">
      <c r="A925" s="33">
        <v>225858.0</v>
      </c>
    </row>
    <row r="926" ht="15.75" customHeight="1">
      <c r="A926" s="33">
        <v>227251.0</v>
      </c>
    </row>
    <row r="927" ht="15.75" customHeight="1">
      <c r="A927" s="33">
        <v>207793.0</v>
      </c>
    </row>
    <row r="928" ht="15.75" customHeight="1">
      <c r="A928" s="33">
        <v>56545.0</v>
      </c>
    </row>
    <row r="929" ht="15.75" customHeight="1">
      <c r="A929" s="33">
        <v>213257.0</v>
      </c>
    </row>
    <row r="930" ht="15.75" customHeight="1">
      <c r="A930" s="33">
        <v>230877.0</v>
      </c>
    </row>
    <row r="931" ht="15.75" customHeight="1">
      <c r="A931" s="33">
        <v>206017.0</v>
      </c>
    </row>
    <row r="932" ht="15.75" customHeight="1">
      <c r="A932" s="33">
        <v>220143.0</v>
      </c>
    </row>
    <row r="933" ht="15.75" customHeight="1">
      <c r="A933" s="33">
        <v>223344.0</v>
      </c>
    </row>
    <row r="934" ht="15.75" customHeight="1">
      <c r="A934" s="33">
        <v>204760.0</v>
      </c>
    </row>
    <row r="935" ht="15.75" customHeight="1">
      <c r="A935" s="33">
        <v>227754.0</v>
      </c>
    </row>
    <row r="936" ht="15.75" customHeight="1">
      <c r="A936" s="33">
        <v>225803.0</v>
      </c>
    </row>
    <row r="937" ht="15.75" customHeight="1">
      <c r="A937" s="33">
        <v>207214.0</v>
      </c>
    </row>
    <row r="938" ht="15.75" customHeight="1">
      <c r="A938" s="33">
        <v>164382.0</v>
      </c>
    </row>
    <row r="939" ht="15.75" customHeight="1">
      <c r="A939" s="33">
        <v>204707.0</v>
      </c>
    </row>
    <row r="940" ht="15.75" customHeight="1">
      <c r="A940" s="33">
        <v>206034.0</v>
      </c>
    </row>
    <row r="941" ht="15.75" customHeight="1">
      <c r="A941" s="33">
        <v>214049.0</v>
      </c>
    </row>
    <row r="942" ht="15.75" customHeight="1">
      <c r="A942" s="33">
        <v>223700.0</v>
      </c>
    </row>
    <row r="943" ht="15.75" customHeight="1">
      <c r="A943" s="33">
        <v>238426.0</v>
      </c>
    </row>
    <row r="944" ht="15.75" customHeight="1">
      <c r="A944" s="33">
        <v>206016.0</v>
      </c>
    </row>
    <row r="945" ht="15.75" customHeight="1">
      <c r="A945" s="33">
        <v>222441.0</v>
      </c>
    </row>
    <row r="946" ht="15.75" customHeight="1">
      <c r="A946" s="33">
        <v>135644.0</v>
      </c>
    </row>
    <row r="947" ht="15.75" customHeight="1">
      <c r="A947" s="33">
        <v>225593.0</v>
      </c>
    </row>
    <row r="948" ht="15.75" customHeight="1">
      <c r="A948" s="33">
        <v>214034.0</v>
      </c>
    </row>
    <row r="949" ht="15.75" customHeight="1">
      <c r="A949" s="33">
        <v>207192.0</v>
      </c>
    </row>
    <row r="950" ht="15.75" customHeight="1">
      <c r="A950" s="33">
        <v>210435.0</v>
      </c>
    </row>
    <row r="951" ht="15.75" customHeight="1">
      <c r="A951" s="33">
        <v>221276.0</v>
      </c>
    </row>
    <row r="952" ht="15.75" customHeight="1">
      <c r="A952" s="33">
        <v>213108.0</v>
      </c>
    </row>
    <row r="953" ht="15.75" customHeight="1">
      <c r="A953" s="33">
        <v>219899.0</v>
      </c>
    </row>
    <row r="954" ht="15.75" customHeight="1">
      <c r="A954" s="33">
        <v>207173.0</v>
      </c>
    </row>
    <row r="955" ht="15.75" customHeight="1">
      <c r="A955" s="33">
        <v>206062.0</v>
      </c>
    </row>
    <row r="956" ht="15.75" customHeight="1">
      <c r="A956" s="33">
        <v>239788.0</v>
      </c>
    </row>
    <row r="957" ht="15.75" customHeight="1">
      <c r="A957" s="33">
        <v>225585.0</v>
      </c>
    </row>
    <row r="958" ht="15.75" customHeight="1">
      <c r="A958" s="33">
        <v>225211.0</v>
      </c>
    </row>
    <row r="959" ht="15.75" customHeight="1">
      <c r="A959" s="33">
        <v>211128.0</v>
      </c>
    </row>
    <row r="960" ht="15.75" customHeight="1">
      <c r="A960" s="33">
        <v>204959.0</v>
      </c>
    </row>
    <row r="961" ht="15.75" customHeight="1">
      <c r="A961" s="33">
        <v>213497.0</v>
      </c>
    </row>
    <row r="962" ht="15.75" customHeight="1">
      <c r="A962" s="33">
        <v>211141.0</v>
      </c>
    </row>
    <row r="963" ht="15.75" customHeight="1">
      <c r="A963" s="33">
        <v>154216.0</v>
      </c>
    </row>
    <row r="964" ht="15.75" customHeight="1">
      <c r="A964" s="33">
        <v>225653.0</v>
      </c>
    </row>
    <row r="965" ht="15.75" customHeight="1">
      <c r="A965" s="33">
        <v>224722.0</v>
      </c>
    </row>
    <row r="966" ht="15.75" customHeight="1">
      <c r="A966" s="33">
        <v>222803.0</v>
      </c>
    </row>
    <row r="967" ht="15.75" customHeight="1">
      <c r="A967" s="33">
        <v>222804.0</v>
      </c>
    </row>
    <row r="968" ht="15.75" customHeight="1">
      <c r="A968" s="33">
        <v>57282.0</v>
      </c>
    </row>
    <row r="969" ht="15.75" customHeight="1">
      <c r="A969" s="33">
        <v>211647.0</v>
      </c>
    </row>
    <row r="970" ht="15.75" customHeight="1">
      <c r="A970" s="33">
        <v>211622.0</v>
      </c>
    </row>
    <row r="971" ht="15.75" customHeight="1">
      <c r="A971" s="33">
        <v>230794.0</v>
      </c>
    </row>
    <row r="972" ht="15.75" customHeight="1">
      <c r="A972" s="33">
        <v>211797.0</v>
      </c>
    </row>
    <row r="973" ht="15.75" customHeight="1">
      <c r="A973" s="33">
        <v>100420.0</v>
      </c>
    </row>
    <row r="974" ht="15.75" customHeight="1">
      <c r="A974" s="33">
        <v>204768.0</v>
      </c>
    </row>
    <row r="975" ht="15.75" customHeight="1">
      <c r="A975" s="33">
        <v>213052.0</v>
      </c>
    </row>
    <row r="976" ht="15.75" customHeight="1">
      <c r="A976" s="33">
        <v>204944.0</v>
      </c>
    </row>
    <row r="977" ht="15.75" customHeight="1">
      <c r="A977" s="33">
        <v>213145.0</v>
      </c>
    </row>
    <row r="978" ht="15.75" customHeight="1">
      <c r="A978" s="33">
        <v>64246.0</v>
      </c>
    </row>
    <row r="979" ht="15.75" customHeight="1">
      <c r="A979" s="33">
        <v>207161.0</v>
      </c>
    </row>
    <row r="980" ht="15.75" customHeight="1">
      <c r="A980" s="33">
        <v>222200.0</v>
      </c>
    </row>
    <row r="981" ht="15.75" customHeight="1">
      <c r="A981" s="33">
        <v>230734.0</v>
      </c>
    </row>
    <row r="982" ht="15.75" customHeight="1">
      <c r="A982" s="33">
        <v>221273.0</v>
      </c>
    </row>
    <row r="983" ht="15.75" customHeight="1">
      <c r="A983" s="33">
        <v>184087.0</v>
      </c>
    </row>
    <row r="984" ht="15.75" customHeight="1">
      <c r="A984" s="33">
        <v>189220.0</v>
      </c>
    </row>
    <row r="985" ht="15.75" customHeight="1">
      <c r="A985" s="33">
        <v>207785.0</v>
      </c>
    </row>
    <row r="986" ht="15.75" customHeight="1">
      <c r="A986" s="33">
        <v>230883.0</v>
      </c>
    </row>
    <row r="987" ht="15.75" customHeight="1">
      <c r="A987" s="33">
        <v>119195.0</v>
      </c>
    </row>
    <row r="988" ht="15.75" customHeight="1">
      <c r="A988" s="33">
        <v>204701.0</v>
      </c>
    </row>
    <row r="989" ht="15.75" customHeight="1">
      <c r="A989" s="33">
        <v>220016.0</v>
      </c>
    </row>
    <row r="990" ht="15.75" customHeight="1">
      <c r="A990" s="33">
        <v>213806.0</v>
      </c>
    </row>
    <row r="991" ht="15.75" customHeight="1">
      <c r="A991" s="33">
        <v>236222.0</v>
      </c>
    </row>
    <row r="992" ht="15.75" customHeight="1">
      <c r="A992" s="33">
        <v>209843.0</v>
      </c>
    </row>
    <row r="993" ht="15.75" customHeight="1">
      <c r="A993" s="33">
        <v>213139.0</v>
      </c>
    </row>
    <row r="994" ht="15.75" customHeight="1">
      <c r="A994" s="33">
        <v>204958.0</v>
      </c>
    </row>
    <row r="995" ht="15.75" customHeight="1">
      <c r="A995" s="33">
        <v>214065.0</v>
      </c>
    </row>
    <row r="996" ht="15.75" customHeight="1">
      <c r="A996" s="33">
        <v>213106.0</v>
      </c>
    </row>
    <row r="997" ht="15.75" customHeight="1">
      <c r="A997" s="33">
        <v>184279.0</v>
      </c>
    </row>
    <row r="998" ht="15.75" customHeight="1">
      <c r="A998" s="33">
        <v>207149.0</v>
      </c>
    </row>
    <row r="999" ht="15.75" customHeight="1">
      <c r="A999" s="33">
        <v>226315.0</v>
      </c>
    </row>
    <row r="1000" ht="15.75" customHeight="1">
      <c r="A1000" s="33">
        <v>217078.0</v>
      </c>
    </row>
    <row r="1001" ht="15.75" customHeight="1">
      <c r="A1001" s="33">
        <v>225705.0</v>
      </c>
    </row>
    <row r="1002" ht="15.75" customHeight="1">
      <c r="A1002" s="33">
        <v>211592.0</v>
      </c>
    </row>
    <row r="1003" ht="15.75" customHeight="1">
      <c r="A1003" s="33">
        <v>213105.0</v>
      </c>
    </row>
    <row r="1004" ht="15.75" customHeight="1">
      <c r="A1004" s="33">
        <v>225677.0</v>
      </c>
    </row>
    <row r="1005" ht="15.75" customHeight="1">
      <c r="A1005" s="33">
        <v>204715.0</v>
      </c>
    </row>
    <row r="1006" ht="15.75" customHeight="1">
      <c r="A1006" s="33">
        <v>215494.0</v>
      </c>
    </row>
    <row r="1007" ht="15.75" customHeight="1">
      <c r="A1007" s="33">
        <v>230673.0</v>
      </c>
    </row>
    <row r="1008" ht="15.75" customHeight="1">
      <c r="A1008" s="33">
        <v>169146.0</v>
      </c>
    </row>
    <row r="1009" ht="15.75" customHeight="1">
      <c r="A1009" s="33">
        <v>211593.0</v>
      </c>
    </row>
    <row r="1010" ht="15.75" customHeight="1">
      <c r="A1010" s="33">
        <v>217036.0</v>
      </c>
    </row>
    <row r="1011" ht="15.75" customHeight="1">
      <c r="A1011" s="33">
        <v>238431.0</v>
      </c>
    </row>
    <row r="1012" ht="15.75" customHeight="1">
      <c r="A1012" s="33">
        <v>226209.0</v>
      </c>
    </row>
    <row r="1013" ht="15.75" customHeight="1">
      <c r="A1013" s="33">
        <v>204706.0</v>
      </c>
    </row>
    <row r="1014" ht="15.75" customHeight="1">
      <c r="A1014" s="33">
        <v>223445.0</v>
      </c>
    </row>
    <row r="1015" ht="15.75" customHeight="1">
      <c r="A1015" s="33">
        <v>221254.0</v>
      </c>
    </row>
    <row r="1016" ht="15.75" customHeight="1">
      <c r="A1016" s="33">
        <v>225823.0</v>
      </c>
    </row>
    <row r="1017" ht="15.75" customHeight="1">
      <c r="A1017" s="33">
        <v>226307.0</v>
      </c>
    </row>
    <row r="1018" ht="15.75" customHeight="1">
      <c r="A1018" s="33">
        <v>56502.0</v>
      </c>
    </row>
    <row r="1019" ht="15.75" customHeight="1">
      <c r="A1019" s="33">
        <v>241138.0</v>
      </c>
    </row>
    <row r="1020" ht="15.75" customHeight="1">
      <c r="A1020" s="33">
        <v>225961.0</v>
      </c>
    </row>
    <row r="1021" ht="15.75" customHeight="1">
      <c r="A1021" s="33">
        <v>225962.0</v>
      </c>
    </row>
    <row r="1022" ht="15.75" customHeight="1">
      <c r="A1022" s="33">
        <v>213229.0</v>
      </c>
    </row>
    <row r="1023" ht="15.75" customHeight="1">
      <c r="A1023" s="33">
        <v>212026.0</v>
      </c>
    </row>
    <row r="1024" ht="15.75" customHeight="1">
      <c r="A1024" s="33">
        <v>153619.0</v>
      </c>
    </row>
    <row r="1025" ht="15.75" customHeight="1">
      <c r="A1025" s="33">
        <v>207134.0</v>
      </c>
    </row>
    <row r="1026" ht="15.75" customHeight="1">
      <c r="A1026" s="33">
        <v>200865.0</v>
      </c>
    </row>
    <row r="1027" ht="15.75" customHeight="1">
      <c r="A1027" s="33">
        <v>172728.0</v>
      </c>
    </row>
    <row r="1028" ht="15.75" customHeight="1">
      <c r="A1028" s="33">
        <v>225896.0</v>
      </c>
    </row>
    <row r="1029" ht="15.75" customHeight="1">
      <c r="A1029" s="33">
        <v>225703.0</v>
      </c>
    </row>
    <row r="1030" ht="15.75" customHeight="1">
      <c r="A1030" s="33">
        <v>207854.0</v>
      </c>
    </row>
    <row r="1031" ht="15.75" customHeight="1">
      <c r="A1031" s="33">
        <v>207169.0</v>
      </c>
    </row>
    <row r="1032" ht="15.75" customHeight="1">
      <c r="A1032" s="33">
        <v>225999.0</v>
      </c>
    </row>
    <row r="1033" ht="15.75" customHeight="1">
      <c r="A1033" s="33">
        <v>226042.0</v>
      </c>
    </row>
    <row r="1034" ht="15.75" customHeight="1">
      <c r="A1034" s="33">
        <v>226043.0</v>
      </c>
    </row>
    <row r="1035" ht="15.75" customHeight="1">
      <c r="A1035" s="33">
        <v>142170.0</v>
      </c>
    </row>
    <row r="1036" ht="15.75" customHeight="1">
      <c r="A1036" s="33">
        <v>213073.0</v>
      </c>
    </row>
    <row r="1037" ht="15.75" customHeight="1">
      <c r="A1037" s="33">
        <v>211659.0</v>
      </c>
    </row>
    <row r="1038" ht="15.75" customHeight="1">
      <c r="A1038" s="33">
        <v>207800.0</v>
      </c>
    </row>
    <row r="1039" ht="15.75" customHeight="1">
      <c r="A1039" s="33">
        <v>204708.0</v>
      </c>
    </row>
    <row r="1040" ht="15.75" customHeight="1">
      <c r="A1040" s="33">
        <v>239178.0</v>
      </c>
    </row>
    <row r="1041" ht="15.75" customHeight="1">
      <c r="A1041" s="33">
        <v>219898.0</v>
      </c>
    </row>
    <row r="1042" ht="15.75" customHeight="1">
      <c r="A1042" s="33">
        <v>197045.0</v>
      </c>
    </row>
    <row r="1043" ht="15.75" customHeight="1">
      <c r="A1043" s="33">
        <v>152986.0</v>
      </c>
    </row>
    <row r="1044" ht="15.75" customHeight="1">
      <c r="A1044" s="33">
        <v>207167.0</v>
      </c>
    </row>
    <row r="1045" ht="15.75" customHeight="1">
      <c r="A1045" s="33">
        <v>217080.0</v>
      </c>
    </row>
    <row r="1046" ht="15.75" customHeight="1">
      <c r="A1046" s="33">
        <v>225912.0</v>
      </c>
    </row>
    <row r="1047" ht="15.75" customHeight="1">
      <c r="A1047" s="33">
        <v>207937.0</v>
      </c>
    </row>
    <row r="1048" ht="15.75" customHeight="1">
      <c r="A1048" s="33">
        <v>239129.0</v>
      </c>
    </row>
    <row r="1049" ht="15.75" customHeight="1">
      <c r="A1049" s="33">
        <v>236267.0</v>
      </c>
    </row>
    <row r="1050" ht="15.75" customHeight="1">
      <c r="A1050" s="33">
        <v>214047.0</v>
      </c>
    </row>
    <row r="1051" ht="15.75" customHeight="1">
      <c r="A1051" s="33">
        <v>220174.0</v>
      </c>
    </row>
    <row r="1052" ht="15.75" customHeight="1">
      <c r="A1052" s="33">
        <v>210683.0</v>
      </c>
    </row>
    <row r="1053" ht="15.75" customHeight="1">
      <c r="A1053" s="33">
        <v>226191.0</v>
      </c>
    </row>
    <row r="1054" ht="15.75" customHeight="1">
      <c r="A1054" s="33">
        <v>221421.0</v>
      </c>
    </row>
    <row r="1055" ht="15.75" customHeight="1">
      <c r="A1055" s="33">
        <v>221424.0</v>
      </c>
    </row>
    <row r="1056" ht="15.75" customHeight="1">
      <c r="A1056" s="33">
        <v>219667.0</v>
      </c>
    </row>
    <row r="1057" ht="15.75" customHeight="1">
      <c r="A1057" s="33">
        <v>226184.0</v>
      </c>
    </row>
    <row r="1058" ht="15.75" customHeight="1">
      <c r="A1058" s="33">
        <v>225702.0</v>
      </c>
    </row>
    <row r="1059" ht="15.75" customHeight="1">
      <c r="A1059" s="33">
        <v>57843.0</v>
      </c>
    </row>
    <row r="1060" ht="15.75" customHeight="1">
      <c r="A1060" s="33">
        <v>210426.0</v>
      </c>
    </row>
    <row r="1061" ht="15.75" customHeight="1">
      <c r="A1061" s="33">
        <v>207182.0</v>
      </c>
    </row>
    <row r="1062" ht="15.75" customHeight="1">
      <c r="A1062" s="33">
        <v>225877.0</v>
      </c>
    </row>
    <row r="1063" ht="15.75" customHeight="1">
      <c r="A1063" s="33">
        <v>210574.0</v>
      </c>
    </row>
    <row r="1064" ht="15.75" customHeight="1">
      <c r="A1064" s="33">
        <v>221100.0</v>
      </c>
    </row>
    <row r="1065" ht="15.75" customHeight="1">
      <c r="A1065" s="33">
        <v>213089.0</v>
      </c>
    </row>
    <row r="1066" ht="15.75" customHeight="1">
      <c r="A1066" s="33">
        <v>226221.0</v>
      </c>
    </row>
    <row r="1067" ht="15.75" customHeight="1">
      <c r="A1067" s="33">
        <v>225784.0</v>
      </c>
    </row>
    <row r="1068" ht="15.75" customHeight="1">
      <c r="A1068" s="33">
        <v>220006.0</v>
      </c>
    </row>
    <row r="1069" ht="15.75" customHeight="1">
      <c r="A1069" s="33">
        <v>208722.0</v>
      </c>
    </row>
    <row r="1070" ht="15.75" customHeight="1">
      <c r="A1070" s="33">
        <v>214042.0</v>
      </c>
    </row>
    <row r="1071" ht="15.75" customHeight="1">
      <c r="A1071" s="33">
        <v>214122.0</v>
      </c>
    </row>
    <row r="1072" ht="15.75" customHeight="1">
      <c r="A1072" s="33">
        <v>237758.0</v>
      </c>
    </row>
    <row r="1073" ht="15.75" customHeight="1">
      <c r="A1073" s="33">
        <v>239447.0</v>
      </c>
    </row>
    <row r="1074" ht="15.75" customHeight="1">
      <c r="A1074" s="33">
        <v>225934.0</v>
      </c>
    </row>
    <row r="1075" ht="15.75" customHeight="1">
      <c r="A1075" s="33">
        <v>207747.0</v>
      </c>
    </row>
    <row r="1076" ht="15.75" customHeight="1">
      <c r="A1076" s="33">
        <v>240602.0</v>
      </c>
    </row>
    <row r="1077" ht="15.75" customHeight="1">
      <c r="A1077" s="33">
        <v>212996.0</v>
      </c>
    </row>
    <row r="1078" ht="15.75" customHeight="1">
      <c r="A1078" s="33">
        <v>169254.0</v>
      </c>
    </row>
    <row r="1079" ht="15.75" customHeight="1">
      <c r="A1079" s="33">
        <v>225863.0</v>
      </c>
    </row>
    <row r="1080" ht="15.75" customHeight="1">
      <c r="A1080" s="33">
        <v>207792.0</v>
      </c>
    </row>
    <row r="1081" ht="15.75" customHeight="1">
      <c r="A1081" s="33">
        <v>224834.0</v>
      </c>
    </row>
    <row r="1082" ht="15.75" customHeight="1">
      <c r="A1082" s="33">
        <v>226314.0</v>
      </c>
    </row>
    <row r="1083" ht="15.75" customHeight="1">
      <c r="A1083" s="33">
        <v>228039.0</v>
      </c>
    </row>
    <row r="1084" ht="15.75" customHeight="1">
      <c r="A1084" s="33">
        <v>238428.0</v>
      </c>
    </row>
    <row r="1085" ht="15.75" customHeight="1">
      <c r="A1085" s="33">
        <v>238429.0</v>
      </c>
    </row>
    <row r="1086" ht="15.75" customHeight="1">
      <c r="A1086" s="33">
        <v>213174.0</v>
      </c>
    </row>
    <row r="1087" ht="15.75" customHeight="1">
      <c r="A1087" s="33">
        <v>204764.0</v>
      </c>
    </row>
    <row r="1088" ht="15.75" customHeight="1">
      <c r="A1088" s="33">
        <v>152628.0</v>
      </c>
    </row>
    <row r="1089" ht="15.75" customHeight="1">
      <c r="A1089" s="33">
        <v>214116.0</v>
      </c>
    </row>
    <row r="1090" ht="15.75" customHeight="1">
      <c r="A1090" s="33">
        <v>225525.0</v>
      </c>
    </row>
    <row r="1091" ht="15.75" customHeight="1">
      <c r="A1091" s="33">
        <v>213130.0</v>
      </c>
    </row>
    <row r="1092" ht="15.75" customHeight="1">
      <c r="A1092" s="33">
        <v>213254.0</v>
      </c>
    </row>
    <row r="1093" ht="15.75" customHeight="1">
      <c r="A1093" s="33">
        <v>217988.0</v>
      </c>
    </row>
    <row r="1094" ht="15.75" customHeight="1">
      <c r="A1094" s="33">
        <v>213044.0</v>
      </c>
    </row>
    <row r="1095" ht="15.75" customHeight="1">
      <c r="A1095" s="33">
        <v>225866.0</v>
      </c>
    </row>
    <row r="1096" ht="15.75" customHeight="1">
      <c r="A1096" s="33">
        <v>206032.0</v>
      </c>
    </row>
    <row r="1097" ht="15.75" customHeight="1">
      <c r="A1097" s="33">
        <v>226217.0</v>
      </c>
    </row>
    <row r="1098" ht="15.75" customHeight="1">
      <c r="A1098" s="33">
        <v>211669.0</v>
      </c>
    </row>
    <row r="1099" ht="15.75" customHeight="1">
      <c r="A1099" s="33">
        <v>222626.0</v>
      </c>
    </row>
    <row r="1100" ht="15.75" customHeight="1">
      <c r="A1100" s="33">
        <v>227730.0</v>
      </c>
    </row>
    <row r="1101" ht="15.75" customHeight="1">
      <c r="A1101" s="33">
        <v>131205.0</v>
      </c>
    </row>
    <row r="1102" ht="15.75" customHeight="1">
      <c r="A1102" s="33">
        <v>228040.0</v>
      </c>
    </row>
    <row r="1103" ht="15.75" customHeight="1">
      <c r="A1103" s="33">
        <v>225805.0</v>
      </c>
    </row>
    <row r="1104" ht="15.75" customHeight="1">
      <c r="A1104" s="33">
        <v>206089.0</v>
      </c>
    </row>
    <row r="1105" ht="15.75" customHeight="1">
      <c r="A1105" s="33">
        <v>225788.0</v>
      </c>
    </row>
    <row r="1106" ht="15.75" customHeight="1">
      <c r="A1106" s="33">
        <v>213513.0</v>
      </c>
    </row>
    <row r="1107" ht="15.75" customHeight="1">
      <c r="A1107" s="33">
        <v>226225.0</v>
      </c>
    </row>
    <row r="1108" ht="15.75" customHeight="1">
      <c r="A1108" s="33">
        <v>207159.0</v>
      </c>
    </row>
    <row r="1109" ht="15.75" customHeight="1">
      <c r="A1109" s="33">
        <v>212004.0</v>
      </c>
    </row>
    <row r="1110" ht="15.75" customHeight="1">
      <c r="A1110" s="33">
        <v>136746.0</v>
      </c>
    </row>
    <row r="1111" ht="15.75" customHeight="1">
      <c r="A1111" s="33">
        <v>213048.0</v>
      </c>
    </row>
    <row r="1112" ht="15.75" customHeight="1">
      <c r="A1112" s="33">
        <v>55999.0</v>
      </c>
    </row>
    <row r="1113" ht="15.75" customHeight="1">
      <c r="A1113" s="33">
        <v>226000.0</v>
      </c>
    </row>
    <row r="1114" ht="15.75" customHeight="1">
      <c r="A1114" s="33">
        <v>214046.0</v>
      </c>
    </row>
    <row r="1115" ht="15.75" customHeight="1">
      <c r="A1115" s="33">
        <v>223346.0</v>
      </c>
    </row>
    <row r="1116" ht="15.75" customHeight="1">
      <c r="A1116" s="33">
        <v>83569.0</v>
      </c>
    </row>
    <row r="1117" ht="15.75" customHeight="1">
      <c r="A1117" s="33">
        <v>225689.0</v>
      </c>
    </row>
    <row r="1118" ht="15.75" customHeight="1">
      <c r="A1118" s="33">
        <v>213225.0</v>
      </c>
    </row>
    <row r="1119" ht="15.75" customHeight="1">
      <c r="A1119" s="33">
        <v>211172.0</v>
      </c>
    </row>
    <row r="1120" ht="15.75" customHeight="1">
      <c r="A1120" s="33">
        <v>221423.0</v>
      </c>
    </row>
    <row r="1121" ht="15.75" customHeight="1">
      <c r="A1121" s="33">
        <v>221439.0</v>
      </c>
    </row>
    <row r="1122" ht="15.75" customHeight="1">
      <c r="A1122" s="33">
        <v>222364.0</v>
      </c>
    </row>
    <row r="1123" ht="15.75" customHeight="1">
      <c r="A1123" s="33">
        <v>209602.0</v>
      </c>
    </row>
    <row r="1124" ht="15.75" customHeight="1">
      <c r="A1124" s="33">
        <v>207748.0</v>
      </c>
    </row>
    <row r="1125" ht="15.75" customHeight="1">
      <c r="A1125" s="33">
        <v>211674.0</v>
      </c>
    </row>
    <row r="1126" ht="15.75" customHeight="1">
      <c r="A1126" s="33">
        <v>226223.0</v>
      </c>
    </row>
    <row r="1127" ht="15.75" customHeight="1">
      <c r="A1127" s="33">
        <v>218514.0</v>
      </c>
    </row>
    <row r="1128" ht="15.75" customHeight="1">
      <c r="A1128" s="33">
        <v>226193.0</v>
      </c>
    </row>
    <row r="1129" ht="15.75" customHeight="1">
      <c r="A1129" s="33">
        <v>212988.0</v>
      </c>
    </row>
    <row r="1130" ht="15.75" customHeight="1">
      <c r="A1130" s="33">
        <v>225576.0</v>
      </c>
    </row>
    <row r="1131" ht="15.75" customHeight="1">
      <c r="A1131" s="33">
        <v>213515.0</v>
      </c>
    </row>
    <row r="1132" ht="15.75" customHeight="1">
      <c r="A1132" s="33">
        <v>224823.0</v>
      </c>
    </row>
    <row r="1133" ht="15.75" customHeight="1">
      <c r="A1133" s="33">
        <v>240224.0</v>
      </c>
    </row>
    <row r="1134" ht="15.75" customHeight="1">
      <c r="A1134" s="33">
        <v>240227.0</v>
      </c>
    </row>
    <row r="1135" ht="15.75" customHeight="1">
      <c r="A1135" s="33">
        <v>226231.0</v>
      </c>
    </row>
    <row r="1136" ht="15.75" customHeight="1">
      <c r="A1136" s="33">
        <v>214066.0</v>
      </c>
    </row>
    <row r="1137" ht="15.75" customHeight="1">
      <c r="A1137" s="33">
        <v>207957.0</v>
      </c>
    </row>
    <row r="1138" ht="15.75" customHeight="1">
      <c r="A1138" s="33">
        <v>240241.0</v>
      </c>
    </row>
    <row r="1139" ht="15.75" customHeight="1">
      <c r="A1139" s="33">
        <v>211214.0</v>
      </c>
    </row>
    <row r="1140" ht="15.75" customHeight="1">
      <c r="A1140" s="33">
        <v>207187.0</v>
      </c>
    </row>
    <row r="1141" ht="15.75" customHeight="1">
      <c r="A1141" s="33">
        <v>225966.0</v>
      </c>
    </row>
    <row r="1142" ht="15.75" customHeight="1">
      <c r="A1142" s="33">
        <v>184086.0</v>
      </c>
    </row>
    <row r="1143" ht="15.75" customHeight="1">
      <c r="A1143" s="33">
        <v>151307.0</v>
      </c>
    </row>
    <row r="1144" ht="15.75" customHeight="1">
      <c r="A1144" s="33">
        <v>225612.0</v>
      </c>
    </row>
    <row r="1145" ht="15.75" customHeight="1">
      <c r="A1145" s="33">
        <v>56588.0</v>
      </c>
    </row>
    <row r="1146" ht="15.75" customHeight="1">
      <c r="A1146" s="33">
        <v>213517.0</v>
      </c>
    </row>
    <row r="1147" ht="15.75" customHeight="1">
      <c r="A1147" s="33">
        <v>240226.0</v>
      </c>
    </row>
    <row r="1148" ht="15.75" customHeight="1">
      <c r="A1148" s="33">
        <v>211651.0</v>
      </c>
    </row>
    <row r="1149" ht="15.75" customHeight="1">
      <c r="A1149" s="33">
        <v>160467.0</v>
      </c>
    </row>
    <row r="1150" ht="15.75" customHeight="1">
      <c r="A1150" s="33">
        <v>212549.0</v>
      </c>
    </row>
    <row r="1151" ht="15.75" customHeight="1">
      <c r="A1151" s="33">
        <v>222365.0</v>
      </c>
    </row>
    <row r="1152" ht="15.75" customHeight="1">
      <c r="A1152" s="33">
        <v>225958.0</v>
      </c>
    </row>
    <row r="1153" ht="15.75" customHeight="1">
      <c r="A1153" s="33">
        <v>119362.0</v>
      </c>
    </row>
    <row r="1154" ht="15.75" customHeight="1">
      <c r="A1154" s="33">
        <v>141130.0</v>
      </c>
    </row>
    <row r="1155" ht="15.75" customHeight="1">
      <c r="A1155" s="33">
        <v>237225.0</v>
      </c>
    </row>
    <row r="1156" ht="15.75" customHeight="1">
      <c r="A1156" s="33">
        <v>207399.0</v>
      </c>
    </row>
    <row r="1157" ht="15.75" customHeight="1">
      <c r="A1157" s="33">
        <v>223929.0</v>
      </c>
    </row>
    <row r="1158" ht="15.75" customHeight="1">
      <c r="A1158" s="33">
        <v>221224.0</v>
      </c>
    </row>
    <row r="1159" ht="15.75" customHeight="1">
      <c r="A1159" s="33">
        <v>226253.0</v>
      </c>
    </row>
    <row r="1160" ht="15.75" customHeight="1">
      <c r="A1160" s="33">
        <v>50776.0</v>
      </c>
    </row>
    <row r="1161" ht="15.75" customHeight="1">
      <c r="A1161" s="33">
        <v>206029.0</v>
      </c>
    </row>
    <row r="1162" ht="15.75" customHeight="1">
      <c r="A1162" s="33">
        <v>223930.0</v>
      </c>
    </row>
    <row r="1163" ht="15.75" customHeight="1">
      <c r="A1163" s="33">
        <v>26298.0</v>
      </c>
    </row>
    <row r="1164" ht="15.75" customHeight="1">
      <c r="A1164" s="33">
        <v>204957.0</v>
      </c>
    </row>
    <row r="1165" ht="15.75" customHeight="1">
      <c r="A1165" s="33">
        <v>223933.0</v>
      </c>
    </row>
    <row r="1166" ht="15.75" customHeight="1">
      <c r="A1166" s="33">
        <v>223947.0</v>
      </c>
    </row>
    <row r="1167" ht="15.75" customHeight="1">
      <c r="A1167" s="33">
        <v>224086.0</v>
      </c>
    </row>
    <row r="1168" ht="15.75" customHeight="1">
      <c r="A1168" s="33">
        <v>204746.0</v>
      </c>
    </row>
    <row r="1169" ht="15.75" customHeight="1">
      <c r="A1169" s="33">
        <v>213083.0</v>
      </c>
    </row>
    <row r="1170" ht="15.75" customHeight="1">
      <c r="A1170" s="33">
        <v>169268.0</v>
      </c>
    </row>
    <row r="1171" ht="15.75" customHeight="1">
      <c r="A1171" s="33">
        <v>200874.0</v>
      </c>
    </row>
    <row r="1172" ht="15.75" customHeight="1">
      <c r="A1172" s="33">
        <v>204756.0</v>
      </c>
    </row>
    <row r="1173" ht="15.75" customHeight="1">
      <c r="A1173" s="33">
        <v>240212.0</v>
      </c>
    </row>
    <row r="1174" ht="15.75" customHeight="1">
      <c r="A1174" s="33">
        <v>160418.0</v>
      </c>
    </row>
    <row r="1175" ht="15.75" customHeight="1">
      <c r="A1175" s="33">
        <v>207789.0</v>
      </c>
    </row>
    <row r="1176" ht="15.75" customHeight="1">
      <c r="A1176" s="33">
        <v>220073.0</v>
      </c>
    </row>
    <row r="1177" ht="15.75" customHeight="1">
      <c r="A1177" s="33">
        <v>222802.0</v>
      </c>
    </row>
    <row r="1178" ht="15.75" customHeight="1">
      <c r="A1178" s="33">
        <v>201075.0</v>
      </c>
    </row>
    <row r="1179" ht="15.75" customHeight="1">
      <c r="A1179" s="33">
        <v>56871.0</v>
      </c>
    </row>
    <row r="1180" ht="15.75" customHeight="1">
      <c r="A1180" s="33">
        <v>212998.0</v>
      </c>
    </row>
    <row r="1181" ht="15.75" customHeight="1">
      <c r="A1181" s="33">
        <v>118484.0</v>
      </c>
    </row>
    <row r="1182" ht="15.75" customHeight="1">
      <c r="A1182" s="33">
        <v>221257.0</v>
      </c>
    </row>
    <row r="1183" ht="15.75" customHeight="1">
      <c r="A1183" s="33">
        <v>223376.0</v>
      </c>
    </row>
    <row r="1184" ht="15.75" customHeight="1">
      <c r="A1184" s="33">
        <v>207802.0</v>
      </c>
    </row>
    <row r="1185" ht="15.75" customHeight="1">
      <c r="A1185" s="33">
        <v>92207.0</v>
      </c>
    </row>
    <row r="1186" ht="15.75" customHeight="1">
      <c r="A1186" s="33">
        <v>221253.0</v>
      </c>
    </row>
    <row r="1187" ht="15.75" customHeight="1">
      <c r="A1187" s="33">
        <v>214050.0</v>
      </c>
    </row>
    <row r="1188" ht="15.75" customHeight="1">
      <c r="A1188" s="33">
        <v>225715.0</v>
      </c>
    </row>
    <row r="1189" ht="15.75" customHeight="1">
      <c r="A1189" s="33">
        <v>207765.0</v>
      </c>
    </row>
    <row r="1190" ht="15.75" customHeight="1">
      <c r="A1190" s="33">
        <v>83534.0</v>
      </c>
    </row>
    <row r="1191" ht="15.75" customHeight="1">
      <c r="A1191" s="33">
        <v>204428.0</v>
      </c>
    </row>
    <row r="1192" ht="15.75" customHeight="1">
      <c r="A1192" s="33">
        <v>221518.0</v>
      </c>
    </row>
    <row r="1193" ht="15.75" customHeight="1">
      <c r="A1193" s="33">
        <v>56448.0</v>
      </c>
    </row>
    <row r="1194" ht="15.75" customHeight="1">
      <c r="A1194" s="33">
        <v>215795.0</v>
      </c>
    </row>
    <row r="1195" ht="15.75" customHeight="1">
      <c r="A1195" s="33">
        <v>225769.0</v>
      </c>
    </row>
    <row r="1196" ht="15.75" customHeight="1">
      <c r="A1196" s="33">
        <v>118428.0</v>
      </c>
    </row>
    <row r="1197" ht="15.75" customHeight="1">
      <c r="A1197" s="33">
        <v>226296.0</v>
      </c>
    </row>
    <row r="1198" ht="15.75" customHeight="1">
      <c r="A1198" s="33">
        <v>54542.0</v>
      </c>
    </row>
    <row r="1199" ht="15.75" customHeight="1">
      <c r="A1199" s="33">
        <v>210958.0</v>
      </c>
    </row>
    <row r="1200" ht="15.75" customHeight="1">
      <c r="A1200" s="33">
        <v>207211.0</v>
      </c>
    </row>
    <row r="1201" ht="15.75" customHeight="1">
      <c r="A1201" s="33">
        <v>221422.0</v>
      </c>
    </row>
    <row r="1202" ht="15.75" customHeight="1">
      <c r="A1202" s="33">
        <v>240295.0</v>
      </c>
    </row>
    <row r="1203" ht="15.75" customHeight="1">
      <c r="A1203" s="33">
        <v>211676.0</v>
      </c>
    </row>
    <row r="1204" ht="15.75" customHeight="1">
      <c r="A1204" s="33">
        <v>227740.0</v>
      </c>
    </row>
    <row r="1205" ht="15.75" customHeight="1">
      <c r="A1205" s="33">
        <v>225575.0</v>
      </c>
    </row>
    <row r="1206" ht="15.75" customHeight="1">
      <c r="A1206" s="33">
        <v>220163.0</v>
      </c>
    </row>
    <row r="1207" ht="15.75" customHeight="1">
      <c r="A1207" s="33">
        <v>225533.0</v>
      </c>
    </row>
    <row r="1208" ht="15.75" customHeight="1">
      <c r="A1208" s="33">
        <v>222805.0</v>
      </c>
    </row>
    <row r="1209" ht="15.75" customHeight="1">
      <c r="A1209" s="33">
        <v>240236.0</v>
      </c>
    </row>
    <row r="1210" ht="15.75" customHeight="1">
      <c r="A1210" s="33">
        <v>153620.0</v>
      </c>
    </row>
    <row r="1211" ht="15.75" customHeight="1">
      <c r="A1211" s="33">
        <v>211175.0</v>
      </c>
    </row>
    <row r="1212" ht="15.75" customHeight="1">
      <c r="A1212" s="33">
        <v>240206.0</v>
      </c>
    </row>
    <row r="1213" ht="15.75" customHeight="1">
      <c r="A1213" s="33">
        <v>240210.0</v>
      </c>
    </row>
    <row r="1214" ht="15.75" customHeight="1">
      <c r="A1214" s="33">
        <v>240220.0</v>
      </c>
    </row>
    <row r="1215" ht="15.75" customHeight="1">
      <c r="A1215" s="33">
        <v>240222.0</v>
      </c>
    </row>
    <row r="1216" ht="15.75" customHeight="1">
      <c r="A1216" s="33">
        <v>240230.0</v>
      </c>
    </row>
    <row r="1217" ht="15.75" customHeight="1">
      <c r="A1217" s="33">
        <v>240242.0</v>
      </c>
    </row>
    <row r="1218" ht="15.75" customHeight="1">
      <c r="A1218" s="33">
        <v>205934.0</v>
      </c>
    </row>
    <row r="1219" ht="15.75" customHeight="1">
      <c r="A1219" s="33">
        <v>239280.0</v>
      </c>
    </row>
    <row r="1220" ht="15.75" customHeight="1">
      <c r="A1220" s="33">
        <v>226272.0</v>
      </c>
    </row>
    <row r="1221" ht="15.75" customHeight="1">
      <c r="A1221" s="33">
        <v>129023.0</v>
      </c>
    </row>
    <row r="1222" ht="15.75" customHeight="1">
      <c r="A1222" s="33">
        <v>213143.0</v>
      </c>
    </row>
    <row r="1223" ht="15.75" customHeight="1">
      <c r="A1223" s="33">
        <v>207803.0</v>
      </c>
    </row>
    <row r="1224" ht="15.75" customHeight="1">
      <c r="A1224" s="33">
        <v>210081.0</v>
      </c>
    </row>
    <row r="1225" ht="15.75" customHeight="1">
      <c r="A1225" s="33">
        <v>217878.0</v>
      </c>
    </row>
    <row r="1226" ht="15.75" customHeight="1">
      <c r="A1226" s="33">
        <v>219903.0</v>
      </c>
    </row>
    <row r="1227" ht="15.75" customHeight="1">
      <c r="A1227" s="33">
        <v>225874.0</v>
      </c>
    </row>
    <row r="1228" ht="15.75" customHeight="1">
      <c r="A1228" s="33">
        <v>207795.0</v>
      </c>
    </row>
    <row r="1229" ht="15.75" customHeight="1">
      <c r="A1229" s="33">
        <v>222368.0</v>
      </c>
    </row>
    <row r="1230" ht="15.75" customHeight="1">
      <c r="A1230" s="33">
        <v>228283.0</v>
      </c>
    </row>
    <row r="1231" ht="15.75" customHeight="1">
      <c r="A1231" s="33">
        <v>219353.0</v>
      </c>
    </row>
    <row r="1232" ht="15.75" customHeight="1">
      <c r="A1232" s="33">
        <v>213010.0</v>
      </c>
    </row>
    <row r="1233" ht="15.75" customHeight="1">
      <c r="A1233" s="33">
        <v>226192.0</v>
      </c>
    </row>
    <row r="1234" ht="15.75" customHeight="1">
      <c r="A1234" s="33">
        <v>169196.0</v>
      </c>
    </row>
    <row r="1235" ht="15.75" customHeight="1">
      <c r="A1235" s="33">
        <v>211370.0</v>
      </c>
    </row>
    <row r="1236" ht="15.75" customHeight="1">
      <c r="A1236" s="33">
        <v>211684.0</v>
      </c>
    </row>
    <row r="1237" ht="15.75" customHeight="1">
      <c r="A1237" s="33">
        <v>211644.0</v>
      </c>
    </row>
    <row r="1238" ht="15.75" customHeight="1">
      <c r="A1238" s="33">
        <v>214076.0</v>
      </c>
    </row>
    <row r="1239" ht="15.75" customHeight="1">
      <c r="A1239" s="33">
        <v>224298.0</v>
      </c>
    </row>
    <row r="1240" ht="15.75" customHeight="1">
      <c r="A1240" s="33">
        <v>214059.0</v>
      </c>
    </row>
    <row r="1241" ht="15.75" customHeight="1">
      <c r="A1241" s="33">
        <v>222806.0</v>
      </c>
    </row>
    <row r="1242" ht="15.75" customHeight="1">
      <c r="A1242" s="33">
        <v>140003.0</v>
      </c>
    </row>
    <row r="1243" ht="15.75" customHeight="1">
      <c r="A1243" s="33">
        <v>231063.0</v>
      </c>
    </row>
    <row r="1244" ht="15.75" customHeight="1">
      <c r="A1244" s="33">
        <v>213093.0</v>
      </c>
    </row>
    <row r="1245" ht="15.75" customHeight="1">
      <c r="A1245" s="33">
        <v>213103.0</v>
      </c>
    </row>
    <row r="1246" ht="15.75" customHeight="1">
      <c r="A1246" s="33">
        <v>213019.0</v>
      </c>
    </row>
    <row r="1247" ht="15.75" customHeight="1">
      <c r="A1247" s="33">
        <v>225709.0</v>
      </c>
    </row>
    <row r="1248" ht="15.75" customHeight="1">
      <c r="A1248" s="33">
        <v>213224.0</v>
      </c>
    </row>
    <row r="1249" ht="15.75" customHeight="1">
      <c r="A1249" s="33">
        <v>214037.0</v>
      </c>
    </row>
    <row r="1250" ht="15.75" customHeight="1">
      <c r="A1250" s="33">
        <v>226189.0</v>
      </c>
    </row>
    <row r="1251" ht="15.75" customHeight="1">
      <c r="A1251" s="33">
        <v>220115.0</v>
      </c>
    </row>
    <row r="1252" ht="15.75" customHeight="1">
      <c r="A1252" s="33">
        <v>154210.0</v>
      </c>
    </row>
    <row r="1253" ht="15.75" customHeight="1">
      <c r="A1253" s="33">
        <v>206039.0</v>
      </c>
    </row>
    <row r="1254" ht="15.75" customHeight="1">
      <c r="A1254" s="33">
        <v>213078.0</v>
      </c>
    </row>
    <row r="1255" ht="15.75" customHeight="1">
      <c r="A1255" s="33">
        <v>217987.0</v>
      </c>
    </row>
    <row r="1256" ht="15.75" customHeight="1">
      <c r="A1256" s="33">
        <v>222447.0</v>
      </c>
    </row>
    <row r="1257" ht="15.75" customHeight="1">
      <c r="A1257" s="33">
        <v>225669.0</v>
      </c>
    </row>
    <row r="1258" ht="15.75" customHeight="1">
      <c r="A1258" s="33">
        <v>214699.0</v>
      </c>
    </row>
    <row r="1259" ht="15.75" customHeight="1">
      <c r="A1259" s="33">
        <v>207273.0</v>
      </c>
    </row>
    <row r="1260" ht="15.75" customHeight="1">
      <c r="A1260" s="33">
        <v>225704.0</v>
      </c>
    </row>
    <row r="1261" ht="15.75" customHeight="1">
      <c r="A1261" s="33">
        <v>220613.0</v>
      </c>
    </row>
    <row r="1262" ht="15.75" customHeight="1">
      <c r="A1262" s="33">
        <v>221269.0</v>
      </c>
    </row>
    <row r="1263" ht="15.75" customHeight="1">
      <c r="A1263" s="33">
        <v>229214.0</v>
      </c>
    </row>
    <row r="1264" ht="15.75" customHeight="1">
      <c r="A1264" s="33">
        <v>237820.0</v>
      </c>
    </row>
    <row r="1265" ht="15.75" customHeight="1">
      <c r="A1265" s="33">
        <v>238433.0</v>
      </c>
    </row>
    <row r="1266" ht="15.75" customHeight="1">
      <c r="A1266" s="33">
        <v>141333.0</v>
      </c>
    </row>
    <row r="1267" ht="15.75" customHeight="1">
      <c r="A1267" s="33">
        <v>220112.0</v>
      </c>
    </row>
    <row r="1268" ht="15.75" customHeight="1">
      <c r="A1268" s="33">
        <v>225881.0</v>
      </c>
    </row>
    <row r="1269" ht="15.75" customHeight="1">
      <c r="A1269" s="33">
        <v>211626.0</v>
      </c>
    </row>
    <row r="1270" ht="15.75" customHeight="1">
      <c r="A1270" s="33">
        <v>231327.0</v>
      </c>
    </row>
    <row r="1271" ht="15.75" customHeight="1">
      <c r="A1271" s="33">
        <v>205711.0</v>
      </c>
    </row>
    <row r="1272" ht="15.75" customHeight="1">
      <c r="A1272" s="33">
        <v>210604.0</v>
      </c>
    </row>
    <row r="1273" ht="15.75" customHeight="1">
      <c r="A1273" s="33">
        <v>223347.0</v>
      </c>
    </row>
    <row r="1274" ht="15.75" customHeight="1">
      <c r="A1274" s="33">
        <v>213175.0</v>
      </c>
    </row>
    <row r="1275" ht="15.75" customHeight="1">
      <c r="A1275" s="33">
        <v>57770.0</v>
      </c>
    </row>
    <row r="1276" ht="15.75" customHeight="1">
      <c r="A1276" s="33">
        <v>158921.0</v>
      </c>
    </row>
    <row r="1277" ht="15.75" customHeight="1">
      <c r="A1277" s="33">
        <v>161437.0</v>
      </c>
    </row>
    <row r="1278" ht="15.75" customHeight="1">
      <c r="A1278" s="33">
        <v>207162.0</v>
      </c>
    </row>
    <row r="1279" ht="15.75" customHeight="1">
      <c r="A1279" s="33">
        <v>213091.0</v>
      </c>
    </row>
    <row r="1280" ht="15.75" customHeight="1">
      <c r="A1280" s="33">
        <v>238447.0</v>
      </c>
    </row>
    <row r="1281" ht="15.75" customHeight="1">
      <c r="A1281" s="33">
        <v>213042.0</v>
      </c>
    </row>
    <row r="1282" ht="15.75" customHeight="1">
      <c r="A1282" s="33">
        <v>227731.0</v>
      </c>
    </row>
    <row r="1283" ht="15.75" customHeight="1">
      <c r="A1283" s="33">
        <v>225755.0</v>
      </c>
    </row>
    <row r="1284" ht="15.75" customHeight="1">
      <c r="A1284" s="33">
        <v>164708.0</v>
      </c>
    </row>
    <row r="1285" ht="15.75" customHeight="1">
      <c r="A1285" s="33">
        <v>222993.0</v>
      </c>
    </row>
    <row r="1286" ht="15.75" customHeight="1">
      <c r="A1286" s="33">
        <v>213896.0</v>
      </c>
    </row>
    <row r="1287" ht="15.75" customHeight="1">
      <c r="A1287" s="33">
        <v>210603.0</v>
      </c>
    </row>
    <row r="1288" ht="15.75" customHeight="1">
      <c r="A1288" s="33">
        <v>59862.0</v>
      </c>
    </row>
    <row r="1289" ht="15.75" customHeight="1">
      <c r="A1289" s="33">
        <v>224831.0</v>
      </c>
    </row>
    <row r="1290" ht="15.75" customHeight="1">
      <c r="A1290" s="33">
        <v>212159.0</v>
      </c>
    </row>
    <row r="1291" ht="15.75" customHeight="1">
      <c r="A1291" s="33">
        <v>225895.0</v>
      </c>
    </row>
    <row r="1292" ht="15.75" customHeight="1">
      <c r="A1292" s="33">
        <v>56138.0</v>
      </c>
    </row>
    <row r="1293" ht="15.75" customHeight="1">
      <c r="A1293" s="33">
        <v>207850.0</v>
      </c>
    </row>
    <row r="1294" ht="15.75" customHeight="1">
      <c r="A1294" s="33">
        <v>221246.0</v>
      </c>
    </row>
    <row r="1295" ht="15.75" customHeight="1">
      <c r="A1295" s="33">
        <v>230878.0</v>
      </c>
    </row>
    <row r="1296" ht="15.75" customHeight="1">
      <c r="A1296" s="33">
        <v>230879.0</v>
      </c>
    </row>
    <row r="1297" ht="15.75" customHeight="1">
      <c r="A1297" s="33">
        <v>241257.0</v>
      </c>
    </row>
    <row r="1298" ht="15.75" customHeight="1">
      <c r="A1298" s="33">
        <v>225530.0</v>
      </c>
    </row>
    <row r="1299" ht="15.75" customHeight="1">
      <c r="A1299" s="33">
        <v>236073.0</v>
      </c>
    </row>
    <row r="1300" ht="15.75" customHeight="1">
      <c r="A1300" s="33">
        <v>240219.0</v>
      </c>
    </row>
    <row r="1301" ht="15.75" customHeight="1">
      <c r="A1301" s="33">
        <v>207758.0</v>
      </c>
    </row>
    <row r="1302" ht="15.75" customHeight="1">
      <c r="A1302" s="33">
        <v>37427.0</v>
      </c>
    </row>
    <row r="1303" ht="15.75" customHeight="1">
      <c r="A1303" s="33">
        <v>55611.0</v>
      </c>
    </row>
    <row r="1304" ht="15.75" customHeight="1">
      <c r="A1304" s="33">
        <v>181057.0</v>
      </c>
    </row>
    <row r="1305" ht="15.75" customHeight="1">
      <c r="A1305" s="33">
        <v>225563.0</v>
      </c>
    </row>
    <row r="1306" ht="15.75" customHeight="1">
      <c r="A1306" s="33">
        <v>119547.0</v>
      </c>
    </row>
    <row r="1307" ht="15.75" customHeight="1">
      <c r="A1307" s="33">
        <v>154218.0</v>
      </c>
    </row>
    <row r="1308" ht="15.75" customHeight="1">
      <c r="A1308" s="33">
        <v>120186.0</v>
      </c>
    </row>
    <row r="1309" ht="15.75" customHeight="1">
      <c r="A1309" s="33">
        <v>211402.0</v>
      </c>
    </row>
    <row r="1310" ht="15.75" customHeight="1">
      <c r="A1310" s="33">
        <v>207191.0</v>
      </c>
    </row>
    <row r="1311" ht="15.75" customHeight="1">
      <c r="A1311" s="33">
        <v>217304.0</v>
      </c>
    </row>
    <row r="1312" ht="15.75" customHeight="1">
      <c r="A1312" s="33">
        <v>212006.0</v>
      </c>
    </row>
    <row r="1313" ht="15.75" customHeight="1">
      <c r="A1313" s="33">
        <v>213619.0</v>
      </c>
    </row>
    <row r="1314" ht="15.75" customHeight="1">
      <c r="A1314" s="33">
        <v>153147.0</v>
      </c>
    </row>
    <row r="1315" ht="15.75" customHeight="1">
      <c r="A1315" s="33">
        <v>214080.0</v>
      </c>
    </row>
    <row r="1316" ht="15.75" customHeight="1">
      <c r="A1316" s="33">
        <v>222986.0</v>
      </c>
    </row>
    <row r="1317" ht="15.75" customHeight="1">
      <c r="A1317" s="33">
        <v>222988.0</v>
      </c>
    </row>
    <row r="1318" ht="15.75" customHeight="1">
      <c r="A1318" s="33">
        <v>78905.0</v>
      </c>
    </row>
    <row r="1319" ht="15.75" customHeight="1">
      <c r="A1319" s="33">
        <v>225768.0</v>
      </c>
    </row>
    <row r="1320" ht="15.75" customHeight="1">
      <c r="A1320" s="33">
        <v>226284.0</v>
      </c>
    </row>
    <row r="1321" ht="15.75" customHeight="1">
      <c r="A1321" s="33">
        <v>231065.0</v>
      </c>
    </row>
    <row r="1322" ht="15.75" customHeight="1">
      <c r="A1322" s="33">
        <v>210681.0</v>
      </c>
    </row>
    <row r="1323" ht="15.75" customHeight="1">
      <c r="A1323" s="33">
        <v>226293.0</v>
      </c>
    </row>
    <row r="1324" ht="15.75" customHeight="1">
      <c r="A1324" s="33">
        <v>168913.0</v>
      </c>
    </row>
    <row r="1325" ht="15.75" customHeight="1">
      <c r="A1325" s="33">
        <v>231282.0</v>
      </c>
    </row>
    <row r="1326" ht="15.75" customHeight="1">
      <c r="A1326" s="33">
        <v>120407.0</v>
      </c>
    </row>
    <row r="1327" ht="15.75" customHeight="1">
      <c r="A1327" s="33">
        <v>221946.0</v>
      </c>
    </row>
    <row r="1328" ht="15.75" customHeight="1">
      <c r="A1328" s="33">
        <v>204237.0</v>
      </c>
    </row>
    <row r="1329" ht="15.75" customHeight="1">
      <c r="A1329" s="33">
        <v>222369.0</v>
      </c>
    </row>
    <row r="1330" ht="15.75" customHeight="1">
      <c r="A1330" s="33">
        <v>220166.0</v>
      </c>
    </row>
    <row r="1331" ht="15.75" customHeight="1">
      <c r="A1331" s="33">
        <v>223365.0</v>
      </c>
    </row>
    <row r="1332" ht="15.75" customHeight="1">
      <c r="A1332" s="33">
        <v>83976.0</v>
      </c>
    </row>
    <row r="1333" ht="15.75" customHeight="1">
      <c r="A1333" s="33">
        <v>207219.0</v>
      </c>
    </row>
    <row r="1334" ht="15.75" customHeight="1">
      <c r="A1334" s="33">
        <v>240211.0</v>
      </c>
    </row>
    <row r="1335" ht="15.75" customHeight="1">
      <c r="A1335" s="33">
        <v>231048.0</v>
      </c>
    </row>
    <row r="1336" ht="15.75" customHeight="1">
      <c r="A1336" s="33">
        <v>240197.0</v>
      </c>
    </row>
    <row r="1337" ht="15.75" customHeight="1">
      <c r="A1337" s="33">
        <v>89940.0</v>
      </c>
    </row>
    <row r="1338" ht="15.75" customHeight="1">
      <c r="A1338" s="33">
        <v>240157.0</v>
      </c>
    </row>
    <row r="1339" ht="15.75" customHeight="1">
      <c r="A1339" s="33">
        <v>210626.0</v>
      </c>
    </row>
    <row r="1340" ht="15.75" customHeight="1">
      <c r="A1340" s="33">
        <v>226224.0</v>
      </c>
    </row>
    <row r="1341" ht="15.75" customHeight="1">
      <c r="A1341" s="33">
        <v>221266.0</v>
      </c>
    </row>
    <row r="1342" ht="15.75" customHeight="1">
      <c r="A1342" s="33">
        <v>238425.0</v>
      </c>
    </row>
    <row r="1343" ht="15.75" customHeight="1">
      <c r="A1343" s="33">
        <v>169198.0</v>
      </c>
    </row>
    <row r="1344" ht="15.75" customHeight="1">
      <c r="A1344" s="33">
        <v>220111.0</v>
      </c>
    </row>
    <row r="1345" ht="15.75" customHeight="1">
      <c r="A1345" s="33">
        <v>214119.0</v>
      </c>
    </row>
    <row r="1346" ht="15.75" customHeight="1">
      <c r="A1346" s="33">
        <v>236352.0</v>
      </c>
    </row>
    <row r="1347" ht="15.75" customHeight="1">
      <c r="A1347" s="33">
        <v>162003.0</v>
      </c>
    </row>
    <row r="1348" ht="15.75" customHeight="1">
      <c r="A1348" s="33">
        <v>57789.0</v>
      </c>
    </row>
    <row r="1349" ht="15.75" customHeight="1">
      <c r="A1349" s="33">
        <v>207764.0</v>
      </c>
    </row>
    <row r="1350" ht="15.75" customHeight="1">
      <c r="A1350" s="33">
        <v>210946.0</v>
      </c>
    </row>
    <row r="1351" ht="15.75" customHeight="1">
      <c r="A1351" s="33">
        <v>213138.0</v>
      </c>
    </row>
    <row r="1352" ht="15.75" customHeight="1">
      <c r="A1352" s="33">
        <v>240045.0</v>
      </c>
    </row>
    <row r="1353" ht="15.75" customHeight="1">
      <c r="A1353" s="33">
        <v>149811.0</v>
      </c>
    </row>
    <row r="1354" ht="15.75" customHeight="1">
      <c r="A1354" s="33">
        <v>214939.0</v>
      </c>
    </row>
    <row r="1355" ht="15.75" customHeight="1">
      <c r="A1355" s="33">
        <v>213018.0</v>
      </c>
    </row>
    <row r="1356" ht="15.75" customHeight="1">
      <c r="A1356" s="33">
        <v>213007.0</v>
      </c>
    </row>
    <row r="1357" ht="15.75" customHeight="1">
      <c r="A1357" s="33">
        <v>211675.0</v>
      </c>
    </row>
    <row r="1358" ht="15.75" customHeight="1">
      <c r="A1358" s="33">
        <v>225731.0</v>
      </c>
    </row>
    <row r="1359" ht="15.75" customHeight="1">
      <c r="A1359" s="33">
        <v>221245.0</v>
      </c>
    </row>
    <row r="1360" ht="15.75" customHeight="1">
      <c r="A1360" s="33">
        <v>185903.0</v>
      </c>
    </row>
    <row r="1361" ht="15.75" customHeight="1">
      <c r="A1361" s="33">
        <v>225560.0</v>
      </c>
    </row>
    <row r="1362" ht="15.75" customHeight="1">
      <c r="A1362" s="33">
        <v>206099.0</v>
      </c>
    </row>
    <row r="1363" ht="15.75" customHeight="1">
      <c r="A1363" s="33">
        <v>227729.0</v>
      </c>
    </row>
    <row r="1364" ht="15.75" customHeight="1">
      <c r="A1364" s="33">
        <v>221261.0</v>
      </c>
    </row>
    <row r="1365" ht="15.75" customHeight="1">
      <c r="A1365" s="33">
        <v>225690.0</v>
      </c>
    </row>
    <row r="1366" ht="15.75" customHeight="1">
      <c r="A1366" s="33">
        <v>230891.0</v>
      </c>
    </row>
    <row r="1367" ht="15.75" customHeight="1">
      <c r="A1367" s="33">
        <v>238886.0</v>
      </c>
    </row>
    <row r="1368" ht="15.75" customHeight="1">
      <c r="A1368" s="33">
        <v>236960.0</v>
      </c>
    </row>
    <row r="1369" ht="15.75" customHeight="1">
      <c r="A1369" s="33">
        <v>231064.0</v>
      </c>
    </row>
    <row r="1370" ht="15.75" customHeight="1">
      <c r="A1370" s="33">
        <v>185678.0</v>
      </c>
    </row>
    <row r="1371" ht="15.75" customHeight="1">
      <c r="A1371" s="33">
        <v>207212.0</v>
      </c>
    </row>
    <row r="1372" ht="15.75" customHeight="1">
      <c r="A1372" s="33">
        <v>220165.0</v>
      </c>
    </row>
    <row r="1373" ht="15.75" customHeight="1">
      <c r="A1373" s="33">
        <v>211587.0</v>
      </c>
    </row>
    <row r="1374" ht="15.75" customHeight="1">
      <c r="A1374" s="33">
        <v>154595.0</v>
      </c>
    </row>
    <row r="1375" ht="15.75" customHeight="1">
      <c r="A1375" s="33">
        <v>221425.0</v>
      </c>
    </row>
    <row r="1376" ht="15.75" customHeight="1">
      <c r="A1376" s="33">
        <v>213104.0</v>
      </c>
    </row>
    <row r="1377" ht="15.75" customHeight="1">
      <c r="A1377" s="33">
        <v>213540.0</v>
      </c>
    </row>
    <row r="1378" ht="15.75" customHeight="1">
      <c r="A1378" s="33">
        <v>225740.0</v>
      </c>
    </row>
    <row r="1379" ht="15.75" customHeight="1">
      <c r="A1379" s="33">
        <v>221258.0</v>
      </c>
    </row>
    <row r="1380" ht="15.75" customHeight="1">
      <c r="A1380" s="33">
        <v>207794.0</v>
      </c>
    </row>
    <row r="1381" ht="15.75" customHeight="1">
      <c r="A1381" s="33">
        <v>218094.0</v>
      </c>
    </row>
    <row r="1382" ht="15.75" customHeight="1">
      <c r="A1382" s="33">
        <v>238435.0</v>
      </c>
    </row>
    <row r="1383" ht="15.75" customHeight="1">
      <c r="A1383" s="33">
        <v>222463.0</v>
      </c>
    </row>
    <row r="1384" ht="15.75" customHeight="1">
      <c r="A1384" s="33">
        <v>230848.0</v>
      </c>
    </row>
    <row r="1385" ht="15.75" customHeight="1">
      <c r="A1385" s="33">
        <v>207533.0</v>
      </c>
    </row>
    <row r="1386" ht="15.75" customHeight="1">
      <c r="A1386" s="33">
        <v>214071.0</v>
      </c>
    </row>
    <row r="1387" ht="15.75" customHeight="1">
      <c r="A1387" s="33">
        <v>213127.0</v>
      </c>
    </row>
    <row r="1388" ht="15.75" customHeight="1">
      <c r="A1388" s="33">
        <v>226174.0</v>
      </c>
    </row>
    <row r="1389" ht="15.75" customHeight="1">
      <c r="A1389" s="33">
        <v>226175.0</v>
      </c>
    </row>
    <row r="1390" ht="15.75" customHeight="1">
      <c r="A1390" s="33">
        <v>227737.0</v>
      </c>
    </row>
    <row r="1391" ht="15.75" customHeight="1">
      <c r="A1391" s="33">
        <v>225735.0</v>
      </c>
    </row>
    <row r="1392" ht="15.75" customHeight="1">
      <c r="A1392" s="33">
        <v>212021.0</v>
      </c>
    </row>
    <row r="1393" ht="15.75" customHeight="1">
      <c r="A1393" s="33">
        <v>153197.0</v>
      </c>
    </row>
    <row r="1394" ht="15.75" customHeight="1">
      <c r="A1394" s="33">
        <v>213227.0</v>
      </c>
    </row>
    <row r="1395" ht="15.75" customHeight="1">
      <c r="A1395" s="33">
        <v>141471.0</v>
      </c>
    </row>
    <row r="1396" ht="15.75" customHeight="1">
      <c r="A1396" s="33">
        <v>204713.0</v>
      </c>
    </row>
    <row r="1397" ht="15.75" customHeight="1">
      <c r="A1397" s="33">
        <v>187074.0</v>
      </c>
    </row>
    <row r="1398" ht="15.75" customHeight="1">
      <c r="A1398" s="33">
        <v>160512.0</v>
      </c>
    </row>
    <row r="1399" ht="15.75" customHeight="1">
      <c r="A1399" s="33">
        <v>225708.0</v>
      </c>
    </row>
    <row r="1400" ht="15.75" customHeight="1">
      <c r="A1400" s="33">
        <v>227762.0</v>
      </c>
    </row>
    <row r="1401" ht="15.75" customHeight="1">
      <c r="A1401" s="33">
        <v>225995.0</v>
      </c>
    </row>
    <row r="1402" ht="15.75" customHeight="1">
      <c r="A1402" s="33">
        <v>225688.0</v>
      </c>
    </row>
    <row r="1403" ht="15.75" customHeight="1">
      <c r="A1403" s="33">
        <v>223678.0</v>
      </c>
    </row>
    <row r="1404" ht="15.75" customHeight="1">
      <c r="A1404" s="33">
        <v>55581.0</v>
      </c>
    </row>
    <row r="1405" ht="15.75" customHeight="1">
      <c r="A1405" s="33">
        <v>211726.0</v>
      </c>
    </row>
    <row r="1406" ht="15.75" customHeight="1">
      <c r="A1406" s="33">
        <v>166059.0</v>
      </c>
    </row>
    <row r="1407" ht="15.75" customHeight="1">
      <c r="A1407" s="33">
        <v>220175.0</v>
      </c>
    </row>
    <row r="1408" ht="15.75" customHeight="1">
      <c r="A1408" s="33">
        <v>240600.0</v>
      </c>
    </row>
    <row r="1409" ht="15.75" customHeight="1">
      <c r="A1409" s="33">
        <v>224096.0</v>
      </c>
    </row>
    <row r="1410" ht="15.75" customHeight="1">
      <c r="A1410" s="33">
        <v>207213.0</v>
      </c>
    </row>
    <row r="1411" ht="15.75" customHeight="1">
      <c r="A1411" s="33">
        <v>225707.0</v>
      </c>
    </row>
    <row r="1412" ht="15.75" customHeight="1">
      <c r="A1412" s="33">
        <v>240432.0</v>
      </c>
    </row>
    <row r="1413" ht="15.75" customHeight="1">
      <c r="A1413" s="33">
        <v>227739.0</v>
      </c>
    </row>
    <row r="1414" ht="15.75" customHeight="1">
      <c r="A1414" s="33">
        <v>225739.0</v>
      </c>
    </row>
    <row r="1415" ht="15.75" customHeight="1">
      <c r="A1415" s="33">
        <v>218554.0</v>
      </c>
    </row>
    <row r="1416" ht="15.75" customHeight="1">
      <c r="A1416" s="33">
        <v>226506.0</v>
      </c>
    </row>
    <row r="1417" ht="15.75" customHeight="1">
      <c r="A1417" s="33">
        <v>207416.0</v>
      </c>
    </row>
    <row r="1418" ht="15.75" customHeight="1">
      <c r="A1418" s="33">
        <v>208015.0</v>
      </c>
    </row>
    <row r="1419" ht="15.75" customHeight="1">
      <c r="A1419" s="33">
        <v>212990.0</v>
      </c>
    </row>
    <row r="1420" ht="15.75" customHeight="1">
      <c r="A1420" s="33">
        <v>231106.0</v>
      </c>
    </row>
    <row r="1421" ht="15.75" customHeight="1">
      <c r="A1421" s="33">
        <v>225924.0</v>
      </c>
    </row>
    <row r="1422" ht="15.75" customHeight="1">
      <c r="A1422" s="33">
        <v>210596.0</v>
      </c>
    </row>
    <row r="1423" ht="15.75" customHeight="1">
      <c r="A1423" s="33">
        <v>210597.0</v>
      </c>
    </row>
    <row r="1424" ht="15.75" customHeight="1">
      <c r="A1424" s="33">
        <v>225532.0</v>
      </c>
    </row>
    <row r="1425" ht="15.75" customHeight="1">
      <c r="A1425" s="33">
        <v>240192.0</v>
      </c>
    </row>
    <row r="1426" ht="15.75" customHeight="1">
      <c r="A1426" s="33">
        <v>221260.0</v>
      </c>
    </row>
    <row r="1427" ht="15.75" customHeight="1">
      <c r="A1427" s="33">
        <v>221274.0</v>
      </c>
    </row>
    <row r="1428" ht="15.75" customHeight="1">
      <c r="A1428" s="33">
        <v>213862.0</v>
      </c>
    </row>
    <row r="1429" ht="15.75" customHeight="1">
      <c r="A1429" s="33">
        <v>206013.0</v>
      </c>
    </row>
    <row r="1430" ht="15.75" customHeight="1">
      <c r="A1430" s="33">
        <v>223375.0</v>
      </c>
    </row>
    <row r="1431" ht="15.75" customHeight="1">
      <c r="A1431" s="33">
        <v>236090.0</v>
      </c>
    </row>
    <row r="1432" ht="15.75" customHeight="1">
      <c r="A1432" s="33">
        <v>229581.0</v>
      </c>
    </row>
    <row r="1433" ht="15.75" customHeight="1">
      <c r="A1433" s="33">
        <v>227742.0</v>
      </c>
    </row>
    <row r="1434" ht="15.75" customHeight="1">
      <c r="A1434" s="33">
        <v>206043.0</v>
      </c>
    </row>
    <row r="1435" ht="15.75" customHeight="1">
      <c r="A1435" s="33">
        <v>161999.0</v>
      </c>
    </row>
    <row r="1436" ht="15.75" customHeight="1">
      <c r="A1436" s="33">
        <v>65714.0</v>
      </c>
    </row>
    <row r="1437" ht="15.75" customHeight="1">
      <c r="A1437" s="33">
        <v>221262.0</v>
      </c>
    </row>
    <row r="1438" ht="15.75" customHeight="1">
      <c r="A1438" s="33">
        <v>221263.0</v>
      </c>
    </row>
    <row r="1439" ht="15.75" customHeight="1">
      <c r="A1439" s="33">
        <v>236024.0</v>
      </c>
    </row>
    <row r="1440" ht="15.75" customHeight="1">
      <c r="A1440" s="33">
        <v>155182.0</v>
      </c>
    </row>
    <row r="1441" ht="15.75" customHeight="1">
      <c r="A1441" s="33">
        <v>122062.0</v>
      </c>
    </row>
    <row r="1442" ht="15.75" customHeight="1">
      <c r="A1442" s="33">
        <v>214072.0</v>
      </c>
    </row>
    <row r="1443" ht="15.75" customHeight="1">
      <c r="A1443" s="33">
        <v>214117.0</v>
      </c>
    </row>
    <row r="1444" ht="15.75" customHeight="1">
      <c r="A1444" s="33">
        <v>214203.0</v>
      </c>
    </row>
    <row r="1445" ht="15.75" customHeight="1">
      <c r="A1445" s="33">
        <v>222775.0</v>
      </c>
    </row>
    <row r="1446" ht="15.75" customHeight="1">
      <c r="A1446" s="33">
        <v>238591.0</v>
      </c>
    </row>
    <row r="1447" ht="15.75" customHeight="1">
      <c r="A1447" s="33">
        <v>75469.0</v>
      </c>
    </row>
    <row r="1448" ht="15.75" customHeight="1">
      <c r="A1448" s="33">
        <v>173908.0</v>
      </c>
    </row>
    <row r="1449" ht="15.75" customHeight="1">
      <c r="A1449" s="33">
        <v>240346.0</v>
      </c>
    </row>
    <row r="1450" ht="15.75" customHeight="1">
      <c r="A1450" s="33">
        <v>207804.0</v>
      </c>
    </row>
    <row r="1451" ht="15.75" customHeight="1">
      <c r="A1451" s="33">
        <v>212579.0</v>
      </c>
    </row>
    <row r="1452" ht="15.75" customHeight="1">
      <c r="A1452" s="33">
        <v>221170.0</v>
      </c>
    </row>
    <row r="1453" ht="15.75" customHeight="1">
      <c r="A1453" s="33">
        <v>236096.0</v>
      </c>
    </row>
    <row r="1454" ht="15.75" customHeight="1">
      <c r="A1454" s="33">
        <v>205902.0</v>
      </c>
    </row>
    <row r="1455" ht="15.75" customHeight="1">
      <c r="A1455" s="33">
        <v>206015.0</v>
      </c>
    </row>
    <row r="1456" ht="15.75" customHeight="1">
      <c r="A1456" s="33">
        <v>213049.0</v>
      </c>
    </row>
    <row r="1457" ht="15.75" customHeight="1">
      <c r="A1457" s="33">
        <v>236097.0</v>
      </c>
    </row>
    <row r="1458" ht="15.75" customHeight="1">
      <c r="A1458" s="33">
        <v>207820.0</v>
      </c>
    </row>
    <row r="1459" ht="15.75" customHeight="1">
      <c r="A1459" s="33">
        <v>225779.0</v>
      </c>
    </row>
    <row r="1460" ht="15.75" customHeight="1">
      <c r="A1460" s="33">
        <v>231090.0</v>
      </c>
    </row>
    <row r="1461" ht="15.75" customHeight="1">
      <c r="A1461" s="33">
        <v>126123.0</v>
      </c>
    </row>
    <row r="1462" ht="15.75" customHeight="1">
      <c r="A1462" s="33">
        <v>230889.0</v>
      </c>
    </row>
    <row r="1463" ht="15.75" customHeight="1">
      <c r="A1463" s="33">
        <v>231050.0</v>
      </c>
    </row>
    <row r="1464" ht="15.75" customHeight="1">
      <c r="A1464" s="33">
        <v>213251.0</v>
      </c>
    </row>
    <row r="1465" ht="15.75" customHeight="1">
      <c r="A1465" s="33">
        <v>185682.0</v>
      </c>
    </row>
    <row r="1466" ht="15.75" customHeight="1">
      <c r="A1466" s="33">
        <v>169197.0</v>
      </c>
    </row>
    <row r="1467" ht="15.75" customHeight="1">
      <c r="A1467" s="33">
        <v>231071.0</v>
      </c>
    </row>
    <row r="1468" ht="15.75" customHeight="1">
      <c r="A1468" s="33">
        <v>223348.0</v>
      </c>
    </row>
    <row r="1469" ht="15.75" customHeight="1">
      <c r="A1469" s="33">
        <v>226341.0</v>
      </c>
    </row>
    <row r="1470" ht="15.75" customHeight="1">
      <c r="A1470" s="33">
        <v>220132.0</v>
      </c>
    </row>
    <row r="1471" ht="15.75" customHeight="1">
      <c r="A1471" s="33">
        <v>226311.0</v>
      </c>
    </row>
    <row r="1472" ht="15.75" customHeight="1">
      <c r="A1472" s="33">
        <v>226306.0</v>
      </c>
    </row>
    <row r="1473" ht="15.75" customHeight="1">
      <c r="A1473" s="33">
        <v>210630.0</v>
      </c>
    </row>
    <row r="1474" ht="15.75" customHeight="1">
      <c r="A1474" s="33">
        <v>213134.0</v>
      </c>
    </row>
    <row r="1475" ht="15.75" customHeight="1">
      <c r="A1475" s="33">
        <v>204676.0</v>
      </c>
    </row>
    <row r="1476" ht="15.75" customHeight="1">
      <c r="A1476" s="33">
        <v>226219.0</v>
      </c>
    </row>
    <row r="1477" ht="15.75" customHeight="1">
      <c r="A1477" s="33">
        <v>226204.0</v>
      </c>
    </row>
    <row r="1478" ht="15.75" customHeight="1">
      <c r="A1478" s="33">
        <v>219904.0</v>
      </c>
    </row>
    <row r="1479" ht="15.75" customHeight="1">
      <c r="A1479" s="33">
        <v>213228.0</v>
      </c>
    </row>
    <row r="1480" ht="15.75" customHeight="1">
      <c r="A1480" s="33">
        <v>212269.0</v>
      </c>
    </row>
    <row r="1481" ht="15.75" customHeight="1">
      <c r="A1481" s="33">
        <v>225648.0</v>
      </c>
    </row>
    <row r="1482" ht="15.75" customHeight="1">
      <c r="A1482" s="33">
        <v>225819.0</v>
      </c>
    </row>
    <row r="1483" ht="15.75" customHeight="1">
      <c r="A1483" s="33">
        <v>204960.0</v>
      </c>
    </row>
    <row r="1484" ht="15.75" customHeight="1">
      <c r="A1484" s="33">
        <v>231091.0</v>
      </c>
    </row>
    <row r="1485" ht="15.75" customHeight="1">
      <c r="A1485" s="33">
        <v>225945.0</v>
      </c>
    </row>
    <row r="1486" ht="15.75" customHeight="1">
      <c r="A1486" s="33">
        <v>221275.0</v>
      </c>
    </row>
    <row r="1487" ht="15.75" customHeight="1">
      <c r="A1487" s="33">
        <v>204961.0</v>
      </c>
    </row>
    <row r="1488" ht="15.75" customHeight="1">
      <c r="A1488" s="33">
        <v>213088.0</v>
      </c>
    </row>
    <row r="1489" ht="15.75" customHeight="1">
      <c r="A1489" s="33">
        <v>231092.0</v>
      </c>
    </row>
    <row r="1490" ht="15.75" customHeight="1">
      <c r="A1490" s="33">
        <v>237776.0</v>
      </c>
    </row>
    <row r="1491" ht="15.75" customHeight="1">
      <c r="A1491" s="33">
        <v>220116.0</v>
      </c>
    </row>
    <row r="1492" ht="15.75" customHeight="1">
      <c r="A1492" s="33">
        <v>225671.0</v>
      </c>
    </row>
    <row r="1493" ht="15.75" customHeight="1">
      <c r="A1493" s="33">
        <v>225798.0</v>
      </c>
    </row>
    <row r="1494" ht="15.75" customHeight="1">
      <c r="A1494" s="33">
        <v>210627.0</v>
      </c>
    </row>
    <row r="1495" ht="15.75" customHeight="1">
      <c r="A1495" s="33">
        <v>212997.0</v>
      </c>
    </row>
    <row r="1496" ht="15.75" customHeight="1">
      <c r="A1496" s="33">
        <v>225716.0</v>
      </c>
    </row>
    <row r="1497" ht="15.75" customHeight="1">
      <c r="A1497" s="33">
        <v>225777.0</v>
      </c>
    </row>
    <row r="1498" ht="15.75" customHeight="1">
      <c r="A1498" s="33">
        <v>240364.0</v>
      </c>
    </row>
    <row r="1499" ht="15.75" customHeight="1">
      <c r="A1499" s="33">
        <v>205930.0</v>
      </c>
    </row>
    <row r="1500" ht="15.75" customHeight="1">
      <c r="A1500" s="33">
        <v>240754.0</v>
      </c>
    </row>
    <row r="1501" ht="15.75" customHeight="1">
      <c r="A1501" s="33">
        <v>225741.0</v>
      </c>
    </row>
    <row r="1502" ht="15.75" customHeight="1">
      <c r="A1502" s="33">
        <v>213135.0</v>
      </c>
    </row>
    <row r="1503" ht="15.75" customHeight="1">
      <c r="A1503" s="33">
        <v>224723.0</v>
      </c>
    </row>
    <row r="1504" ht="15.75" customHeight="1">
      <c r="A1504" s="33">
        <v>201073.0</v>
      </c>
    </row>
    <row r="1505" ht="15.75" customHeight="1">
      <c r="A1505" s="33">
        <v>231015.0</v>
      </c>
    </row>
    <row r="1506" ht="15.75" customHeight="1">
      <c r="A1506" s="33">
        <v>231017.0</v>
      </c>
    </row>
    <row r="1507" ht="15.75" customHeight="1">
      <c r="A1507" s="33">
        <v>231080.0</v>
      </c>
    </row>
    <row r="1508" ht="15.75" customHeight="1">
      <c r="A1508" s="33">
        <v>172888.0</v>
      </c>
    </row>
    <row r="1509" ht="15.75" customHeight="1">
      <c r="A1509" s="33">
        <v>202818.0</v>
      </c>
    </row>
    <row r="1510" ht="15.75" customHeight="1">
      <c r="A1510" s="33">
        <v>227735.0</v>
      </c>
    </row>
    <row r="1511" ht="15.75" customHeight="1">
      <c r="A1511" s="33">
        <v>84638.0</v>
      </c>
    </row>
    <row r="1512" ht="15.75" customHeight="1">
      <c r="A1512" s="33">
        <v>231018.0</v>
      </c>
    </row>
    <row r="1513" ht="15.75" customHeight="1">
      <c r="A1513" s="33">
        <v>207815.0</v>
      </c>
    </row>
    <row r="1514" ht="15.75" customHeight="1">
      <c r="A1514" s="33">
        <v>211131.0</v>
      </c>
    </row>
    <row r="1515" ht="15.75" customHeight="1">
      <c r="A1515" s="33">
        <v>240037.0</v>
      </c>
    </row>
    <row r="1516" ht="15.75" customHeight="1">
      <c r="A1516" s="33">
        <v>210628.0</v>
      </c>
    </row>
    <row r="1517" ht="15.75" customHeight="1">
      <c r="A1517" s="33">
        <v>225673.0</v>
      </c>
    </row>
    <row r="1518" ht="15.75" customHeight="1">
      <c r="A1518" s="33">
        <v>206049.0</v>
      </c>
    </row>
    <row r="1519" ht="15.75" customHeight="1">
      <c r="A1519" s="33">
        <v>160175.0</v>
      </c>
    </row>
    <row r="1520" ht="15.75" customHeight="1">
      <c r="A1520" s="33">
        <v>231019.0</v>
      </c>
    </row>
    <row r="1521" ht="15.75" customHeight="1">
      <c r="A1521" s="33">
        <v>231100.0</v>
      </c>
    </row>
    <row r="1522" ht="15.75" customHeight="1">
      <c r="A1522" s="33">
        <v>135006.0</v>
      </c>
    </row>
    <row r="1523" ht="15.75" customHeight="1">
      <c r="A1523" s="33">
        <v>207761.0</v>
      </c>
    </row>
    <row r="1524" ht="15.75" customHeight="1">
      <c r="A1524" s="33">
        <v>225681.0</v>
      </c>
    </row>
    <row r="1525" ht="15.75" customHeight="1">
      <c r="A1525" s="33">
        <v>57762.0</v>
      </c>
    </row>
    <row r="1526" ht="15.75" customHeight="1">
      <c r="A1526" s="33">
        <v>221259.0</v>
      </c>
    </row>
    <row r="1527" ht="15.75" customHeight="1">
      <c r="A1527" s="33">
        <v>225796.0</v>
      </c>
    </row>
    <row r="1528" ht="15.75" customHeight="1">
      <c r="A1528" s="33">
        <v>231104.0</v>
      </c>
    </row>
    <row r="1529" ht="15.75" customHeight="1">
      <c r="A1529" s="33">
        <v>223926.0</v>
      </c>
    </row>
    <row r="1530" ht="15.75" customHeight="1">
      <c r="A1530" s="33">
        <v>223934.0</v>
      </c>
    </row>
    <row r="1531" ht="15.75" customHeight="1">
      <c r="A1531" s="33">
        <v>169355.0</v>
      </c>
    </row>
    <row r="1532" ht="15.75" customHeight="1">
      <c r="A1532" s="33">
        <v>206035.0</v>
      </c>
    </row>
    <row r="1533" ht="15.75" customHeight="1">
      <c r="A1533" s="33">
        <v>174303.0</v>
      </c>
    </row>
    <row r="1534" ht="15.75" customHeight="1">
      <c r="A1534" s="33">
        <v>223446.0</v>
      </c>
    </row>
    <row r="1535" ht="15.75" customHeight="1">
      <c r="A1535" s="33">
        <v>225771.0</v>
      </c>
    </row>
    <row r="1536" ht="15.75" customHeight="1">
      <c r="A1536" s="33">
        <v>213173.0</v>
      </c>
    </row>
    <row r="1537" ht="15.75" customHeight="1">
      <c r="A1537" s="33">
        <v>224826.0</v>
      </c>
    </row>
    <row r="1538" ht="15.75" customHeight="1">
      <c r="A1538" s="33">
        <v>225571.0</v>
      </c>
    </row>
    <row r="1539" ht="15.75" customHeight="1">
      <c r="A1539" s="33">
        <v>221264.0</v>
      </c>
    </row>
    <row r="1540" ht="15.75" customHeight="1">
      <c r="A1540" s="33">
        <v>221265.0</v>
      </c>
    </row>
    <row r="1541" ht="15.75" customHeight="1">
      <c r="A1541" s="33">
        <v>213026.0</v>
      </c>
    </row>
    <row r="1542" ht="15.75" customHeight="1">
      <c r="A1542" s="33">
        <v>230884.0</v>
      </c>
    </row>
    <row r="1543" ht="15.75" customHeight="1">
      <c r="A1543" s="33">
        <v>206045.0</v>
      </c>
    </row>
    <row r="1544" ht="15.75" customHeight="1">
      <c r="A1544" s="33">
        <v>54127.0</v>
      </c>
    </row>
    <row r="1545" ht="15.75" customHeight="1">
      <c r="A1545" s="33">
        <v>231007.0</v>
      </c>
    </row>
    <row r="1546" ht="15.75" customHeight="1">
      <c r="A1546" s="33">
        <v>231010.0</v>
      </c>
    </row>
    <row r="1547" ht="15.75" customHeight="1">
      <c r="A1547" s="33">
        <v>231012.0</v>
      </c>
    </row>
    <row r="1548" ht="15.75" customHeight="1">
      <c r="A1548" s="33">
        <v>83640.0</v>
      </c>
    </row>
    <row r="1549" ht="15.75" customHeight="1">
      <c r="A1549" s="33">
        <v>206098.0</v>
      </c>
    </row>
    <row r="1550" ht="15.75" customHeight="1">
      <c r="A1550" s="33">
        <v>210625.0</v>
      </c>
    </row>
    <row r="1551" ht="15.75" customHeight="1">
      <c r="A1551" s="33">
        <v>228093.0</v>
      </c>
    </row>
    <row r="1552" ht="15.75" customHeight="1">
      <c r="A1552" s="33">
        <v>231009.0</v>
      </c>
    </row>
    <row r="1553" ht="15.75" customHeight="1">
      <c r="A1553" s="33">
        <v>231081.0</v>
      </c>
    </row>
    <row r="1554" ht="15.75" customHeight="1">
      <c r="A1554" s="33">
        <v>231084.0</v>
      </c>
    </row>
    <row r="1555" ht="15.75" customHeight="1">
      <c r="A1555" s="33">
        <v>231096.0</v>
      </c>
    </row>
    <row r="1556" ht="15.75" customHeight="1">
      <c r="A1556" s="33">
        <v>231103.0</v>
      </c>
    </row>
    <row r="1557" ht="15.75" customHeight="1">
      <c r="A1557" s="33">
        <v>225713.0</v>
      </c>
    </row>
    <row r="1558" ht="15.75" customHeight="1">
      <c r="A1558" s="33">
        <v>226335.0</v>
      </c>
    </row>
    <row r="1559" ht="15.75" customHeight="1">
      <c r="A1559" s="33">
        <v>132263.0</v>
      </c>
    </row>
    <row r="1560" ht="15.75" customHeight="1">
      <c r="A1560" s="33">
        <v>220156.0</v>
      </c>
    </row>
    <row r="1561" ht="15.75" customHeight="1">
      <c r="A1561" s="33">
        <v>208727.0</v>
      </c>
    </row>
    <row r="1562" ht="15.75" customHeight="1">
      <c r="A1562" s="33">
        <v>214073.0</v>
      </c>
    </row>
    <row r="1563" ht="15.75" customHeight="1">
      <c r="A1563" s="33">
        <v>225578.0</v>
      </c>
    </row>
    <row r="1564" ht="15.75" customHeight="1">
      <c r="A1564" s="33">
        <v>222994.0</v>
      </c>
    </row>
    <row r="1565" ht="15.75" customHeight="1">
      <c r="A1565" s="33">
        <v>217990.0</v>
      </c>
    </row>
    <row r="1566" ht="15.75" customHeight="1">
      <c r="A1566" s="33">
        <v>206379.0</v>
      </c>
    </row>
    <row r="1567" ht="15.75" customHeight="1">
      <c r="A1567" s="33">
        <v>218093.0</v>
      </c>
    </row>
    <row r="1568" ht="15.75" customHeight="1">
      <c r="A1568" s="33">
        <v>231013.0</v>
      </c>
    </row>
    <row r="1569" ht="15.75" customHeight="1">
      <c r="A1569" s="33">
        <v>231016.0</v>
      </c>
    </row>
    <row r="1570" ht="15.75" customHeight="1">
      <c r="A1570" s="33">
        <v>231093.0</v>
      </c>
    </row>
    <row r="1571" ht="15.75" customHeight="1">
      <c r="A1571" s="33">
        <v>133965.0</v>
      </c>
    </row>
    <row r="1572" ht="15.75" customHeight="1">
      <c r="A1572" s="33">
        <v>227540.0</v>
      </c>
    </row>
    <row r="1573" ht="15.75" customHeight="1">
      <c r="A1573" s="33">
        <v>240759.0</v>
      </c>
    </row>
    <row r="1574" ht="15.75" customHeight="1">
      <c r="A1574" s="33">
        <v>237039.0</v>
      </c>
    </row>
    <row r="1575" ht="15.75" customHeight="1">
      <c r="A1575" s="33">
        <v>237181.0</v>
      </c>
    </row>
    <row r="1576" ht="15.75" customHeight="1">
      <c r="A1576" s="33">
        <v>162002.0</v>
      </c>
    </row>
    <row r="1577" ht="15.75" customHeight="1">
      <c r="A1577" s="33">
        <v>231008.0</v>
      </c>
    </row>
    <row r="1578" ht="15.75" customHeight="1">
      <c r="A1578" s="33">
        <v>231083.0</v>
      </c>
    </row>
    <row r="1579" ht="15.75" customHeight="1">
      <c r="A1579" s="33">
        <v>231087.0</v>
      </c>
    </row>
    <row r="1580" ht="15.75" customHeight="1">
      <c r="A1580" s="33">
        <v>231089.0</v>
      </c>
    </row>
    <row r="1581" ht="15.75" customHeight="1">
      <c r="A1581" s="33">
        <v>231094.0</v>
      </c>
    </row>
    <row r="1582" ht="15.75" customHeight="1">
      <c r="A1582" s="33">
        <v>231095.0</v>
      </c>
    </row>
    <row r="1583" ht="15.75" customHeight="1">
      <c r="A1583" s="33">
        <v>231097.0</v>
      </c>
    </row>
    <row r="1584" ht="15.75" customHeight="1">
      <c r="A1584" s="33">
        <v>231102.0</v>
      </c>
    </row>
    <row r="1585" ht="15.75" customHeight="1">
      <c r="A1585" s="33">
        <v>163277.0</v>
      </c>
    </row>
    <row r="1586" ht="15.75" customHeight="1">
      <c r="A1586" s="33">
        <v>163278.0</v>
      </c>
    </row>
    <row r="1587" ht="15.75" customHeight="1">
      <c r="A1587" s="33">
        <v>163279.0</v>
      </c>
    </row>
    <row r="1588" ht="15.75" customHeight="1">
      <c r="A1588" s="33">
        <v>231088.0</v>
      </c>
    </row>
    <row r="1589" ht="15.75" customHeight="1">
      <c r="A1589" s="33">
        <v>223679.0</v>
      </c>
    </row>
    <row r="1590" ht="15.75" customHeight="1">
      <c r="A1590" s="33">
        <v>231004.0</v>
      </c>
    </row>
    <row r="1591" ht="15.75" customHeight="1">
      <c r="A1591" s="33">
        <v>231022.0</v>
      </c>
    </row>
    <row r="1592" ht="15.75" customHeight="1">
      <c r="A1592" s="33">
        <v>231047.0</v>
      </c>
    </row>
    <row r="1593" ht="15.75" customHeight="1">
      <c r="A1593" s="33">
        <v>231058.0</v>
      </c>
    </row>
    <row r="1594" ht="15.75" customHeight="1">
      <c r="A1594" s="33">
        <v>231066.0</v>
      </c>
    </row>
    <row r="1595" ht="15.75" customHeight="1">
      <c r="A1595" s="33">
        <v>231067.0</v>
      </c>
    </row>
    <row r="1596" ht="15.75" customHeight="1">
      <c r="A1596" s="33">
        <v>237775.0</v>
      </c>
    </row>
    <row r="1597" ht="15.75" customHeight="1">
      <c r="A1597" s="33">
        <v>206014.0</v>
      </c>
    </row>
    <row r="1598" ht="15.75" customHeight="1">
      <c r="A1598" s="33">
        <v>195393.0</v>
      </c>
    </row>
    <row r="1599" ht="15.75" customHeight="1">
      <c r="A1599" s="33">
        <v>213558.0</v>
      </c>
    </row>
    <row r="1600" ht="15.75" customHeight="1">
      <c r="A1600" s="33">
        <v>161997.0</v>
      </c>
    </row>
    <row r="1601" ht="15.75" customHeight="1">
      <c r="A1601" s="33">
        <v>214077.0</v>
      </c>
    </row>
    <row r="1602" ht="15.75" customHeight="1">
      <c r="A1602" s="33">
        <v>230804.0</v>
      </c>
    </row>
    <row r="1603" ht="15.75" customHeight="1">
      <c r="A1603" s="33">
        <v>225891.0</v>
      </c>
    </row>
    <row r="1604" ht="15.75" customHeight="1">
      <c r="A1604" s="33">
        <v>226422.0</v>
      </c>
    </row>
    <row r="1605" ht="15.75" customHeight="1">
      <c r="A1605" s="33">
        <v>225802.0</v>
      </c>
    </row>
    <row r="1606" ht="15.75" customHeight="1">
      <c r="A1606" s="33">
        <v>124704.0</v>
      </c>
    </row>
    <row r="1607" ht="15.75" customHeight="1">
      <c r="A1607" s="33">
        <v>181519.0</v>
      </c>
    </row>
    <row r="1608" ht="15.75" customHeight="1">
      <c r="A1608" s="33">
        <v>231101.0</v>
      </c>
    </row>
    <row r="1609" ht="15.75" customHeight="1">
      <c r="A1609" s="33">
        <v>213230.0</v>
      </c>
    </row>
    <row r="1610" ht="15.75" customHeight="1">
      <c r="A1610" s="33">
        <v>53848.0</v>
      </c>
    </row>
    <row r="1611" ht="15.75" customHeight="1">
      <c r="A1611" s="33">
        <v>147084.0</v>
      </c>
    </row>
    <row r="1612" ht="15.75" customHeight="1">
      <c r="A1612" s="33">
        <v>226302.0</v>
      </c>
    </row>
    <row r="1613" ht="15.75" customHeight="1">
      <c r="A1613" s="33">
        <v>210537.0</v>
      </c>
    </row>
    <row r="1614" ht="15.75" customHeight="1">
      <c r="A1614" s="33">
        <v>222987.0</v>
      </c>
    </row>
    <row r="1615" ht="15.75" customHeight="1">
      <c r="A1615" s="33">
        <v>213100.0</v>
      </c>
    </row>
    <row r="1616" ht="15.75" customHeight="1">
      <c r="A1616" s="33">
        <v>225649.0</v>
      </c>
    </row>
    <row r="1617" ht="15.75" customHeight="1">
      <c r="A1617" s="33">
        <v>227749.0</v>
      </c>
    </row>
    <row r="1618" ht="15.75" customHeight="1">
      <c r="A1618" s="33">
        <v>231014.0</v>
      </c>
    </row>
    <row r="1619" ht="15.75" customHeight="1">
      <c r="A1619" s="33">
        <v>237766.0</v>
      </c>
    </row>
    <row r="1620" ht="15.75" customHeight="1">
      <c r="A1620" s="33">
        <v>231072.0</v>
      </c>
    </row>
    <row r="1621" ht="15.75" customHeight="1">
      <c r="A1621" s="33">
        <v>240042.0</v>
      </c>
    </row>
    <row r="1622" ht="15.75" customHeight="1">
      <c r="A1622" s="33">
        <v>225706.0</v>
      </c>
    </row>
    <row r="1623" ht="15.75" customHeight="1">
      <c r="A1623" s="33">
        <v>225878.0</v>
      </c>
    </row>
    <row r="1624" ht="15.75" customHeight="1">
      <c r="A1624" s="33">
        <v>205911.0</v>
      </c>
    </row>
    <row r="1625" ht="15.75" customHeight="1">
      <c r="A1625" s="33">
        <v>213311.0</v>
      </c>
    </row>
    <row r="1626" ht="15.75" customHeight="1">
      <c r="A1626" s="33">
        <v>158884.0</v>
      </c>
    </row>
    <row r="1627" ht="15.75" customHeight="1">
      <c r="A1627" s="33">
        <v>55000.0</v>
      </c>
    </row>
    <row r="1628" ht="15.75" customHeight="1">
      <c r="A1628" s="33">
        <v>231099.0</v>
      </c>
    </row>
    <row r="1629" ht="15.75" customHeight="1">
      <c r="A1629" s="33">
        <v>211338.0</v>
      </c>
    </row>
    <row r="1630" ht="15.75" customHeight="1">
      <c r="A1630" s="33">
        <v>207172.0</v>
      </c>
    </row>
    <row r="1631" ht="15.75" customHeight="1">
      <c r="A1631" s="33">
        <v>219712.0</v>
      </c>
    </row>
    <row r="1632" ht="15.75" customHeight="1">
      <c r="A1632" s="33">
        <v>51470.0</v>
      </c>
    </row>
    <row r="1633" ht="15.75" customHeight="1">
      <c r="A1633" s="33">
        <v>231011.0</v>
      </c>
    </row>
    <row r="1634" ht="15.75" customHeight="1">
      <c r="A1634" s="33">
        <v>226327.0</v>
      </c>
    </row>
    <row r="1635" ht="15.75" customHeight="1">
      <c r="A1635" s="33">
        <v>231037.0</v>
      </c>
    </row>
    <row r="1636" ht="15.75" customHeight="1">
      <c r="A1636" s="33">
        <v>231038.0</v>
      </c>
    </row>
    <row r="1637" ht="15.75" customHeight="1">
      <c r="A1637" s="33">
        <v>231041.0</v>
      </c>
    </row>
    <row r="1638" ht="15.75" customHeight="1">
      <c r="A1638" s="33">
        <v>231045.0</v>
      </c>
    </row>
    <row r="1639" ht="15.75" customHeight="1">
      <c r="A1639" s="33">
        <v>231056.0</v>
      </c>
    </row>
    <row r="1640" ht="15.75" customHeight="1">
      <c r="A1640" s="33">
        <v>231057.0</v>
      </c>
    </row>
    <row r="1641" ht="15.75" customHeight="1">
      <c r="A1641" s="33">
        <v>231059.0</v>
      </c>
    </row>
    <row r="1642" ht="15.75" customHeight="1">
      <c r="A1642" s="33">
        <v>231060.0</v>
      </c>
    </row>
    <row r="1643" ht="15.75" customHeight="1">
      <c r="A1643" s="33">
        <v>231068.0</v>
      </c>
    </row>
    <row r="1644" ht="15.75" customHeight="1">
      <c r="A1644" s="33">
        <v>195742.0</v>
      </c>
    </row>
    <row r="1645" ht="15.75" customHeight="1">
      <c r="A1645" s="33">
        <v>221241.0</v>
      </c>
    </row>
    <row r="1646" ht="15.75" customHeight="1">
      <c r="A1646" s="33">
        <v>221267.0</v>
      </c>
    </row>
    <row r="1647" ht="15.75" customHeight="1">
      <c r="A1647" s="33">
        <v>206038.0</v>
      </c>
    </row>
    <row r="1648" ht="15.75" customHeight="1">
      <c r="A1648" s="33">
        <v>220168.0</v>
      </c>
    </row>
    <row r="1649" ht="15.75" customHeight="1">
      <c r="A1649" s="33">
        <v>225844.0</v>
      </c>
    </row>
    <row r="1650" ht="15.75" customHeight="1">
      <c r="A1650" s="33">
        <v>141430.0</v>
      </c>
    </row>
    <row r="1651" ht="15.75" customHeight="1">
      <c r="A1651" s="33">
        <v>231006.0</v>
      </c>
    </row>
    <row r="1652" ht="15.75" customHeight="1">
      <c r="A1652" s="33">
        <v>227745.0</v>
      </c>
    </row>
    <row r="1653" ht="15.75" customHeight="1">
      <c r="A1653" s="33">
        <v>225674.0</v>
      </c>
    </row>
    <row r="1654" ht="15.75" customHeight="1">
      <c r="A1654" s="33">
        <v>230796.0</v>
      </c>
    </row>
    <row r="1655" ht="15.75" customHeight="1">
      <c r="A1655" s="33">
        <v>230798.0</v>
      </c>
    </row>
    <row r="1656" ht="15.75" customHeight="1">
      <c r="A1656" s="33">
        <v>230802.0</v>
      </c>
    </row>
    <row r="1657" ht="15.75" customHeight="1">
      <c r="A1657" s="33">
        <v>230803.0</v>
      </c>
    </row>
    <row r="1658" ht="15.75" customHeight="1">
      <c r="A1658" s="33">
        <v>211633.0</v>
      </c>
    </row>
    <row r="1659" ht="15.75" customHeight="1">
      <c r="A1659" s="33">
        <v>225748.0</v>
      </c>
    </row>
    <row r="1660" ht="15.75" customHeight="1">
      <c r="A1660" s="33">
        <v>207190.0</v>
      </c>
    </row>
    <row r="1661" ht="15.75" customHeight="1">
      <c r="A1661" s="33">
        <v>207754.0</v>
      </c>
    </row>
    <row r="1662" ht="15.75" customHeight="1">
      <c r="A1662" s="33">
        <v>240376.0</v>
      </c>
    </row>
    <row r="1663" ht="15.75" customHeight="1">
      <c r="A1663" s="33">
        <v>210795.0</v>
      </c>
    </row>
    <row r="1664" ht="15.75" customHeight="1">
      <c r="A1664" s="33">
        <v>225841.0</v>
      </c>
    </row>
    <row r="1665" ht="15.75" customHeight="1">
      <c r="A1665" s="33">
        <v>226222.0</v>
      </c>
    </row>
    <row r="1666" ht="15.75" customHeight="1">
      <c r="A1666" s="33">
        <v>225756.0</v>
      </c>
    </row>
    <row r="1667" ht="15.75" customHeight="1">
      <c r="A1667" s="33">
        <v>226273.0</v>
      </c>
    </row>
    <row r="1668" ht="15.75" customHeight="1">
      <c r="A1668" s="33">
        <v>212999.0</v>
      </c>
    </row>
    <row r="1669" ht="15.75" customHeight="1">
      <c r="A1669" s="33">
        <v>142530.0</v>
      </c>
    </row>
    <row r="1670" ht="15.75" customHeight="1">
      <c r="A1670" s="33">
        <v>225817.0</v>
      </c>
    </row>
    <row r="1671" ht="15.75" customHeight="1">
      <c r="A1671" s="33">
        <v>226331.0</v>
      </c>
    </row>
    <row r="1672" ht="15.75" customHeight="1">
      <c r="A1672" s="33">
        <v>226220.0</v>
      </c>
    </row>
    <row r="1673" ht="15.75" customHeight="1">
      <c r="A1673" s="33">
        <v>207223.0</v>
      </c>
    </row>
    <row r="1674" ht="15.75" customHeight="1">
      <c r="A1674" s="33">
        <v>231086.0</v>
      </c>
    </row>
    <row r="1675" ht="15.75" customHeight="1">
      <c r="A1675" s="33">
        <v>231082.0</v>
      </c>
    </row>
    <row r="1676" ht="15.75" customHeight="1">
      <c r="A1676" s="33">
        <v>162000.0</v>
      </c>
    </row>
    <row r="1677" ht="15.75" customHeight="1">
      <c r="A1677" s="33">
        <v>231098.0</v>
      </c>
    </row>
    <row r="1678" ht="15.75" customHeight="1">
      <c r="A1678" s="33">
        <v>210969.0</v>
      </c>
    </row>
    <row r="1679" ht="15.75" customHeight="1">
      <c r="A1679" s="33">
        <v>238606.0</v>
      </c>
    </row>
    <row r="1680" ht="15.75" customHeight="1">
      <c r="A1680" s="33">
        <v>225848.0</v>
      </c>
    </row>
    <row r="1681" ht="15.75" customHeight="1">
      <c r="A1681" s="33">
        <v>225845.0</v>
      </c>
    </row>
    <row r="1682" ht="15.75" customHeight="1">
      <c r="A1682" s="33">
        <v>240746.0</v>
      </c>
    </row>
    <row r="1683" ht="15.75" customHeight="1">
      <c r="A1683" s="33">
        <v>240433.0</v>
      </c>
    </row>
    <row r="1684" ht="15.75" customHeight="1">
      <c r="A1684" s="33">
        <v>58017.0</v>
      </c>
    </row>
    <row r="1685" ht="15.75" customHeight="1">
      <c r="A1685" s="33">
        <v>226218.0</v>
      </c>
    </row>
    <row r="1686" ht="15.75" customHeight="1">
      <c r="A1686" s="33">
        <v>236962.0</v>
      </c>
    </row>
    <row r="1687" ht="15.75" customHeight="1">
      <c r="A1687" s="33">
        <v>215693.0</v>
      </c>
    </row>
    <row r="1688" ht="15.75" customHeight="1">
      <c r="A1688" s="33">
        <v>213092.0</v>
      </c>
    </row>
    <row r="1689" ht="15.75" customHeight="1">
      <c r="A1689" s="33">
        <v>213029.0</v>
      </c>
    </row>
    <row r="1690" ht="15.75" customHeight="1">
      <c r="A1690" s="33">
        <v>209261.0</v>
      </c>
    </row>
    <row r="1691" ht="15.75" customHeight="1">
      <c r="A1691" s="33">
        <v>75426.0</v>
      </c>
    </row>
    <row r="1692" ht="15.75" customHeight="1">
      <c r="A1692" s="33">
        <v>227535.0</v>
      </c>
    </row>
    <row r="1693" ht="15.75" customHeight="1">
      <c r="A1693" s="33">
        <v>227827.0</v>
      </c>
    </row>
    <row r="1694" ht="15.75" customHeight="1">
      <c r="A1694" s="33">
        <v>238614.0</v>
      </c>
    </row>
    <row r="1695" ht="15.75" customHeight="1">
      <c r="A1695" s="33">
        <v>226271.0</v>
      </c>
    </row>
    <row r="1696" ht="15.75" customHeight="1">
      <c r="A1696" s="33">
        <v>223896.0</v>
      </c>
    </row>
    <row r="1697" ht="15.75" customHeight="1">
      <c r="A1697" s="33">
        <v>240755.0</v>
      </c>
    </row>
    <row r="1698" ht="15.75" customHeight="1">
      <c r="A1698" s="33">
        <v>218097.0</v>
      </c>
    </row>
    <row r="1699" ht="15.75" customHeight="1">
      <c r="A1699" s="33">
        <v>214121.0</v>
      </c>
    </row>
    <row r="1700" ht="15.75" customHeight="1">
      <c r="A1700" s="33">
        <v>220101.0</v>
      </c>
    </row>
    <row r="1701" ht="15.75" customHeight="1">
      <c r="A1701" s="33">
        <v>225795.0</v>
      </c>
    </row>
    <row r="1702" ht="15.75" customHeight="1">
      <c r="A1702" s="33">
        <v>230959.0</v>
      </c>
    </row>
    <row r="1703" ht="15.75" customHeight="1">
      <c r="A1703" s="33">
        <v>231000.0</v>
      </c>
    </row>
    <row r="1704" ht="15.75" customHeight="1">
      <c r="A1704" s="33">
        <v>231001.0</v>
      </c>
    </row>
    <row r="1705" ht="15.75" customHeight="1">
      <c r="A1705" s="33">
        <v>231005.0</v>
      </c>
    </row>
    <row r="1706" ht="15.75" customHeight="1">
      <c r="A1706" s="33">
        <v>231036.0</v>
      </c>
    </row>
    <row r="1707" ht="15.75" customHeight="1">
      <c r="A1707" s="33">
        <v>231042.0</v>
      </c>
    </row>
    <row r="1708" ht="15.75" customHeight="1">
      <c r="A1708" s="33">
        <v>231043.0</v>
      </c>
    </row>
    <row r="1709" ht="15.75" customHeight="1">
      <c r="A1709" s="33">
        <v>231044.0</v>
      </c>
    </row>
    <row r="1710" ht="15.75" customHeight="1">
      <c r="A1710" s="33">
        <v>231046.0</v>
      </c>
    </row>
    <row r="1711" ht="15.75" customHeight="1">
      <c r="A1711" s="33">
        <v>231049.0</v>
      </c>
    </row>
    <row r="1712" ht="15.75" customHeight="1">
      <c r="A1712" s="33">
        <v>231052.0</v>
      </c>
    </row>
    <row r="1713" ht="15.75" customHeight="1">
      <c r="A1713" s="33">
        <v>231053.0</v>
      </c>
    </row>
    <row r="1714" ht="15.75" customHeight="1">
      <c r="A1714" s="33">
        <v>231054.0</v>
      </c>
    </row>
    <row r="1715" ht="15.75" customHeight="1">
      <c r="A1715" s="33">
        <v>231055.0</v>
      </c>
    </row>
    <row r="1716" ht="15.75" customHeight="1">
      <c r="A1716" s="33">
        <v>231061.0</v>
      </c>
    </row>
    <row r="1717" ht="15.75" customHeight="1">
      <c r="A1717" s="33">
        <v>231069.0</v>
      </c>
    </row>
    <row r="1718" ht="15.75" customHeight="1">
      <c r="A1718" s="33">
        <v>231078.0</v>
      </c>
    </row>
    <row r="1719" ht="15.75" customHeight="1">
      <c r="A1719" s="33">
        <v>231079.0</v>
      </c>
    </row>
    <row r="1720" ht="15.75" customHeight="1">
      <c r="A1720" s="33">
        <v>231105.0</v>
      </c>
    </row>
    <row r="1721" ht="15.75" customHeight="1">
      <c r="A1721" s="33">
        <v>231179.0</v>
      </c>
    </row>
    <row r="1722" ht="15.75" customHeight="1">
      <c r="A1722" s="33">
        <v>231180.0</v>
      </c>
    </row>
    <row r="1723" ht="15.75" customHeight="1">
      <c r="A1723" s="33">
        <v>231181.0</v>
      </c>
    </row>
    <row r="1724" ht="15.75" customHeight="1">
      <c r="A1724" s="33">
        <v>180401.0</v>
      </c>
    </row>
    <row r="1725" ht="15.75" customHeight="1">
      <c r="A1725" s="33">
        <v>150276.0</v>
      </c>
    </row>
    <row r="1726" ht="15.75" customHeight="1">
      <c r="A1726" s="33">
        <v>240498.0</v>
      </c>
    </row>
    <row r="1727" ht="15.75" customHeight="1">
      <c r="A1727" s="33">
        <v>225734.0</v>
      </c>
    </row>
    <row r="1728" ht="15.75" customHeight="1">
      <c r="A1728" s="33">
        <v>194597.0</v>
      </c>
    </row>
    <row r="1729" ht="15.75" customHeight="1">
      <c r="A1729" s="33">
        <v>239296.0</v>
      </c>
    </row>
    <row r="1730" ht="15.75" customHeight="1">
      <c r="A1730" s="33">
        <v>213226.0</v>
      </c>
    </row>
    <row r="1731" ht="15.75" customHeight="1">
      <c r="A1731" s="33">
        <v>222460.0</v>
      </c>
    </row>
    <row r="1732" ht="15.75" customHeight="1">
      <c r="A1732" s="33">
        <v>207811.0</v>
      </c>
    </row>
    <row r="1733" ht="15.75" customHeight="1">
      <c r="A1733" s="33">
        <v>237765.0</v>
      </c>
    </row>
    <row r="1734" ht="15.75" customHeight="1">
      <c r="A1734" s="33">
        <v>238611.0</v>
      </c>
    </row>
    <row r="1735" ht="15.75" customHeight="1">
      <c r="A1735" s="33">
        <v>239442.0</v>
      </c>
    </row>
    <row r="1736" ht="15.75" customHeight="1">
      <c r="A1736" s="33">
        <v>213011.0</v>
      </c>
    </row>
    <row r="1737" ht="15.75" customHeight="1">
      <c r="A1737" s="33">
        <v>227738.0</v>
      </c>
    </row>
    <row r="1738" ht="15.75" customHeight="1">
      <c r="A1738" s="33">
        <v>219713.0</v>
      </c>
    </row>
    <row r="1739" ht="15.75" customHeight="1">
      <c r="A1739" s="33">
        <v>236271.0</v>
      </c>
    </row>
    <row r="1740" ht="15.75" customHeight="1">
      <c r="A1740" s="33">
        <v>212076.0</v>
      </c>
    </row>
    <row r="1741" ht="15.75" customHeight="1">
      <c r="A1741" s="33">
        <v>225684.0</v>
      </c>
    </row>
    <row r="1742" ht="15.75" customHeight="1">
      <c r="A1742" s="33">
        <v>221766.0</v>
      </c>
    </row>
    <row r="1743" ht="15.75" customHeight="1">
      <c r="A1743" s="33">
        <v>237767.0</v>
      </c>
    </row>
    <row r="1744" ht="15.75" customHeight="1">
      <c r="A1744" s="33">
        <v>226330.0</v>
      </c>
    </row>
    <row r="1745" ht="15.75" customHeight="1">
      <c r="A1745" s="33">
        <v>225611.0</v>
      </c>
    </row>
    <row r="1746" ht="15.75" customHeight="1">
      <c r="A1746" s="33">
        <v>225936.0</v>
      </c>
    </row>
    <row r="1747" ht="15.75" customHeight="1">
      <c r="A1747" s="33">
        <v>221244.0</v>
      </c>
    </row>
    <row r="1748" ht="15.75" customHeight="1">
      <c r="A1748" s="33">
        <v>229913.0</v>
      </c>
    </row>
    <row r="1749" ht="15.75" customHeight="1">
      <c r="A1749" s="33">
        <v>56286.0</v>
      </c>
    </row>
    <row r="1750" ht="15.75" customHeight="1">
      <c r="A1750" s="33">
        <v>223313.0</v>
      </c>
    </row>
    <row r="1751" ht="15.75" customHeight="1">
      <c r="A1751" s="33">
        <v>211694.0</v>
      </c>
    </row>
    <row r="1752" ht="15.75" customHeight="1">
      <c r="A1752" s="33">
        <v>225751.0</v>
      </c>
    </row>
    <row r="1753" ht="15.75" customHeight="1">
      <c r="A1753" s="33">
        <v>83003.0</v>
      </c>
    </row>
    <row r="1754" ht="15.75" customHeight="1">
      <c r="A1754" s="33">
        <v>55840.0</v>
      </c>
    </row>
    <row r="1755" ht="15.75" customHeight="1">
      <c r="A1755" s="33">
        <v>206028.0</v>
      </c>
    </row>
    <row r="1756" ht="15.75" customHeight="1">
      <c r="A1756" s="33">
        <v>226173.0</v>
      </c>
    </row>
    <row r="1757" ht="15.75" customHeight="1">
      <c r="A1757" s="33">
        <v>221396.0</v>
      </c>
    </row>
    <row r="1758" ht="15.75" customHeight="1">
      <c r="A1758" s="33">
        <v>153148.0</v>
      </c>
    </row>
    <row r="1759" ht="15.75" customHeight="1">
      <c r="A1759" s="33">
        <v>219718.0</v>
      </c>
    </row>
    <row r="1760" ht="15.75" customHeight="1">
      <c r="A1760" s="33">
        <v>220177.0</v>
      </c>
    </row>
    <row r="1761" ht="15.75" customHeight="1">
      <c r="A1761" s="33">
        <v>240342.0</v>
      </c>
    </row>
    <row r="1762" ht="15.75" customHeight="1">
      <c r="A1762" s="33">
        <v>240409.0</v>
      </c>
    </row>
    <row r="1763" ht="15.75" customHeight="1">
      <c r="A1763" s="33">
        <v>206076.0</v>
      </c>
    </row>
    <row r="1764" ht="15.75" customHeight="1">
      <c r="A1764" s="33">
        <v>240474.0</v>
      </c>
    </row>
    <row r="1765" ht="15.75" customHeight="1">
      <c r="A1765" s="33">
        <v>237785.0</v>
      </c>
    </row>
    <row r="1766" ht="15.75" customHeight="1">
      <c r="A1766" s="33">
        <v>205925.0</v>
      </c>
    </row>
    <row r="1767" ht="15.75" customHeight="1">
      <c r="A1767" s="33">
        <v>219717.0</v>
      </c>
    </row>
    <row r="1768" ht="15.75" customHeight="1">
      <c r="A1768" s="33">
        <v>225778.0</v>
      </c>
    </row>
    <row r="1769" ht="15.75" customHeight="1">
      <c r="A1769" s="33">
        <v>211142.0</v>
      </c>
    </row>
    <row r="1770" ht="15.75" customHeight="1">
      <c r="A1770" s="33">
        <v>240492.0</v>
      </c>
    </row>
    <row r="1771" ht="15.75" customHeight="1">
      <c r="A1771" s="33">
        <v>225686.0</v>
      </c>
    </row>
    <row r="1772" ht="15.75" customHeight="1">
      <c r="A1772" s="33">
        <v>149748.0</v>
      </c>
    </row>
    <row r="1773" ht="15.75" customHeight="1">
      <c r="A1773" s="33">
        <v>215014.0</v>
      </c>
    </row>
    <row r="1774" ht="15.75" customHeight="1">
      <c r="A1774" s="33">
        <v>213133.0</v>
      </c>
    </row>
    <row r="1775" ht="15.75" customHeight="1">
      <c r="A1775" s="33">
        <v>213366.0</v>
      </c>
    </row>
    <row r="1776" ht="15.75" customHeight="1">
      <c r="A1776" s="33">
        <v>51047.0</v>
      </c>
    </row>
    <row r="1777" ht="15.75" customHeight="1">
      <c r="A1777" s="33">
        <v>240742.0</v>
      </c>
    </row>
    <row r="1778" ht="15.75" customHeight="1">
      <c r="A1778" s="33">
        <v>121466.0</v>
      </c>
    </row>
    <row r="1779" ht="15.75" customHeight="1">
      <c r="A1779" s="33">
        <v>240753.0</v>
      </c>
    </row>
    <row r="1780" ht="15.75" customHeight="1">
      <c r="A1780" s="33">
        <v>213215.0</v>
      </c>
    </row>
    <row r="1781" ht="15.75" customHeight="1">
      <c r="A1781" s="33">
        <v>225767.0</v>
      </c>
    </row>
    <row r="1782" ht="15.75" customHeight="1">
      <c r="A1782" s="33">
        <v>153198.0</v>
      </c>
    </row>
    <row r="1783" ht="15.75" customHeight="1">
      <c r="A1783" s="33">
        <v>229543.0</v>
      </c>
    </row>
    <row r="1784" ht="15.75" customHeight="1">
      <c r="A1784" s="33">
        <v>240741.0</v>
      </c>
    </row>
    <row r="1785" ht="15.75" customHeight="1">
      <c r="A1785" s="33">
        <v>225559.0</v>
      </c>
    </row>
    <row r="1786" ht="15.75" customHeight="1">
      <c r="A1786" s="33">
        <v>207801.0</v>
      </c>
    </row>
    <row r="1787" ht="15.75" customHeight="1">
      <c r="A1787" s="33">
        <v>213132.0</v>
      </c>
    </row>
    <row r="1788" ht="15.75" customHeight="1">
      <c r="A1788" s="33">
        <v>225733.0</v>
      </c>
    </row>
    <row r="1789" ht="15.75" customHeight="1">
      <c r="A1789" s="33">
        <v>206027.0</v>
      </c>
    </row>
    <row r="1790" ht="15.75" customHeight="1">
      <c r="A1790" s="33">
        <v>238605.0</v>
      </c>
    </row>
    <row r="1791" ht="15.75" customHeight="1">
      <c r="A1791" s="33">
        <v>225753.0</v>
      </c>
    </row>
    <row r="1792" ht="15.75" customHeight="1">
      <c r="A1792" s="33">
        <v>206390.0</v>
      </c>
    </row>
    <row r="1793" ht="15.75" customHeight="1">
      <c r="A1793" s="33">
        <v>238287.0</v>
      </c>
    </row>
    <row r="1794" ht="15.75" customHeight="1">
      <c r="A1794" s="33">
        <v>187078.0</v>
      </c>
    </row>
    <row r="1795" ht="15.75" customHeight="1">
      <c r="A1795" s="33">
        <v>168914.0</v>
      </c>
    </row>
    <row r="1796" ht="15.75" customHeight="1">
      <c r="A1796" s="33">
        <v>206476.0</v>
      </c>
    </row>
    <row r="1797" ht="15.75" customHeight="1">
      <c r="A1797" s="33">
        <v>170672.0</v>
      </c>
    </row>
    <row r="1798" ht="15.75" customHeight="1">
      <c r="A1798" s="33">
        <v>240445.0</v>
      </c>
    </row>
    <row r="1799" ht="15.75" customHeight="1">
      <c r="A1799" s="33">
        <v>213169.0</v>
      </c>
    </row>
    <row r="1800" ht="15.75" customHeight="1">
      <c r="A1800" s="33">
        <v>225963.0</v>
      </c>
    </row>
    <row r="1801" ht="15.75" customHeight="1">
      <c r="A1801" s="33">
        <v>223368.0</v>
      </c>
    </row>
    <row r="1802" ht="15.75" customHeight="1">
      <c r="A1802" s="33">
        <v>204762.0</v>
      </c>
    </row>
    <row r="1803" ht="15.75" customHeight="1">
      <c r="A1803" s="33">
        <v>225754.0</v>
      </c>
    </row>
    <row r="1804" ht="15.75" customHeight="1">
      <c r="A1804" s="33">
        <v>225888.0</v>
      </c>
    </row>
    <row r="1805" ht="15.75" customHeight="1">
      <c r="A1805" s="33">
        <v>213252.0</v>
      </c>
    </row>
    <row r="1806" ht="15.75" customHeight="1">
      <c r="A1806" s="33">
        <v>240398.0</v>
      </c>
    </row>
    <row r="1807" ht="15.75" customHeight="1">
      <c r="A1807" s="33">
        <v>206047.0</v>
      </c>
    </row>
    <row r="1808" ht="15.75" customHeight="1">
      <c r="A1808" s="33">
        <v>240328.0</v>
      </c>
    </row>
    <row r="1809" ht="15.75" customHeight="1">
      <c r="A1809" s="33">
        <v>225670.0</v>
      </c>
    </row>
    <row r="1810" ht="15.75" customHeight="1">
      <c r="A1810" s="33">
        <v>226292.0</v>
      </c>
    </row>
    <row r="1811" ht="15.75" customHeight="1">
      <c r="A1811" s="33">
        <v>239037.0</v>
      </c>
    </row>
    <row r="1812" ht="15.75" customHeight="1">
      <c r="A1812" s="33">
        <v>206104.0</v>
      </c>
    </row>
    <row r="1813" ht="15.75" customHeight="1">
      <c r="A1813" s="33">
        <v>207185.0</v>
      </c>
    </row>
    <row r="1814" ht="15.75" customHeight="1">
      <c r="A1814" s="33">
        <v>131384.0</v>
      </c>
    </row>
    <row r="1815" ht="15.75" customHeight="1">
      <c r="A1815" s="33">
        <v>201188.0</v>
      </c>
    </row>
    <row r="1816" ht="15.75" customHeight="1">
      <c r="A1816" s="33">
        <v>221268.0</v>
      </c>
    </row>
    <row r="1817" ht="15.75" customHeight="1">
      <c r="A1817" s="33">
        <v>221571.0</v>
      </c>
    </row>
    <row r="1818" ht="15.75" customHeight="1">
      <c r="A1818" s="33">
        <v>240416.0</v>
      </c>
    </row>
    <row r="1819" ht="15.75" customHeight="1">
      <c r="A1819" s="33">
        <v>240440.0</v>
      </c>
    </row>
    <row r="1820" ht="15.75" customHeight="1">
      <c r="A1820" s="33">
        <v>240374.0</v>
      </c>
    </row>
    <row r="1821" ht="15.75" customHeight="1">
      <c r="A1821" s="33">
        <v>240493.0</v>
      </c>
    </row>
    <row r="1822" ht="15.75" customHeight="1">
      <c r="A1822" s="33">
        <v>200051.0</v>
      </c>
    </row>
    <row r="1823" ht="15.75" customHeight="1">
      <c r="A1823" s="33">
        <v>119563.0</v>
      </c>
    </row>
    <row r="1824" ht="15.75" customHeight="1">
      <c r="A1824" s="33">
        <v>213075.0</v>
      </c>
    </row>
    <row r="1825" ht="15.75" customHeight="1">
      <c r="A1825" s="33">
        <v>121801.0</v>
      </c>
    </row>
    <row r="1826" ht="15.75" customHeight="1">
      <c r="A1826" s="33">
        <v>240381.0</v>
      </c>
    </row>
    <row r="1827" ht="15.75" customHeight="1">
      <c r="A1827" s="33">
        <v>225710.0</v>
      </c>
    </row>
    <row r="1828" ht="15.75" customHeight="1">
      <c r="A1828" s="33">
        <v>213129.0</v>
      </c>
    </row>
    <row r="1829" ht="15.75" customHeight="1">
      <c r="A1829" s="33">
        <v>214213.0</v>
      </c>
    </row>
    <row r="1830" ht="15.75" customHeight="1">
      <c r="A1830" s="33">
        <v>213071.0</v>
      </c>
    </row>
    <row r="1831" ht="15.75" customHeight="1">
      <c r="A1831" s="33">
        <v>187763.0</v>
      </c>
    </row>
    <row r="1832" ht="15.75" customHeight="1">
      <c r="A1832" s="33">
        <v>83984.0</v>
      </c>
    </row>
    <row r="1833" ht="15.75" customHeight="1">
      <c r="A1833" s="33">
        <v>124702.0</v>
      </c>
    </row>
    <row r="1834" ht="15.75" customHeight="1">
      <c r="A1834" s="33">
        <v>210469.0</v>
      </c>
    </row>
    <row r="1835" ht="15.75" customHeight="1">
      <c r="A1835" s="33">
        <v>213181.0</v>
      </c>
    </row>
    <row r="1836" ht="15.75" customHeight="1">
      <c r="A1836" s="33">
        <v>207751.0</v>
      </c>
    </row>
    <row r="1837" ht="15.75" customHeight="1">
      <c r="A1837" s="33">
        <v>213184.0</v>
      </c>
    </row>
    <row r="1838" ht="15.75" customHeight="1">
      <c r="A1838" s="33">
        <v>213188.0</v>
      </c>
    </row>
    <row r="1839" ht="15.75" customHeight="1">
      <c r="A1839" s="33">
        <v>225752.0</v>
      </c>
    </row>
    <row r="1840" ht="15.75" customHeight="1">
      <c r="A1840" s="33">
        <v>240450.0</v>
      </c>
    </row>
    <row r="1841" ht="15.75" customHeight="1">
      <c r="A1841" s="33">
        <v>239133.0</v>
      </c>
    </row>
    <row r="1842" ht="15.75" customHeight="1">
      <c r="A1842" s="33">
        <v>213045.0</v>
      </c>
    </row>
    <row r="1843" ht="15.75" customHeight="1">
      <c r="A1843" s="33">
        <v>240772.0</v>
      </c>
    </row>
    <row r="1844" ht="15.75" customHeight="1">
      <c r="A1844" s="33">
        <v>213063.0</v>
      </c>
    </row>
    <row r="1845" ht="15.75" customHeight="1">
      <c r="A1845" s="33">
        <v>227532.0</v>
      </c>
    </row>
    <row r="1846" ht="15.75" customHeight="1">
      <c r="A1846" s="33">
        <v>238602.0</v>
      </c>
    </row>
    <row r="1847" ht="15.75" customHeight="1">
      <c r="A1847" s="33">
        <v>225142.0</v>
      </c>
    </row>
    <row r="1848" ht="15.75" customHeight="1">
      <c r="A1848" s="33">
        <v>206021.0</v>
      </c>
    </row>
    <row r="1849" ht="15.75" customHeight="1">
      <c r="A1849" s="33">
        <v>226263.0</v>
      </c>
    </row>
    <row r="1850" ht="15.75" customHeight="1">
      <c r="A1850" s="33">
        <v>214954.0</v>
      </c>
    </row>
    <row r="1851" ht="15.75" customHeight="1">
      <c r="A1851" s="33">
        <v>240523.0</v>
      </c>
    </row>
    <row r="1852" ht="15.75" customHeight="1">
      <c r="A1852" s="33">
        <v>240449.0</v>
      </c>
    </row>
    <row r="1853" ht="15.75" customHeight="1">
      <c r="A1853" s="33">
        <v>217617.0</v>
      </c>
    </row>
    <row r="1854" ht="15.75" customHeight="1">
      <c r="A1854" s="33">
        <v>204712.0</v>
      </c>
    </row>
    <row r="1855" ht="15.75" customHeight="1">
      <c r="A1855" s="33">
        <v>119907.0</v>
      </c>
    </row>
    <row r="1856" ht="15.75" customHeight="1">
      <c r="A1856" s="33">
        <v>187761.0</v>
      </c>
    </row>
    <row r="1857" ht="15.75" customHeight="1">
      <c r="A1857" s="33">
        <v>231062.0</v>
      </c>
    </row>
    <row r="1858" ht="15.75" customHeight="1">
      <c r="A1858" s="33">
        <v>231182.0</v>
      </c>
    </row>
    <row r="1859" ht="15.75" customHeight="1">
      <c r="A1859" s="33">
        <v>206085.0</v>
      </c>
    </row>
    <row r="1860" ht="15.75" customHeight="1">
      <c r="A1860" s="33">
        <v>240401.0</v>
      </c>
    </row>
    <row r="1861" ht="15.75" customHeight="1">
      <c r="A1861" s="33">
        <v>211625.0</v>
      </c>
    </row>
    <row r="1862" ht="15.75" customHeight="1">
      <c r="A1862" s="33">
        <v>240348.0</v>
      </c>
    </row>
    <row r="1863" ht="15.75" customHeight="1">
      <c r="A1863" s="33">
        <v>225675.0</v>
      </c>
    </row>
    <row r="1864" ht="15.75" customHeight="1">
      <c r="A1864" s="33">
        <v>207813.0</v>
      </c>
    </row>
    <row r="1865" ht="15.75" customHeight="1">
      <c r="A1865" s="33">
        <v>207210.0</v>
      </c>
    </row>
    <row r="1866" ht="15.75" customHeight="1">
      <c r="A1866" s="33">
        <v>240438.0</v>
      </c>
    </row>
    <row r="1867" ht="15.75" customHeight="1">
      <c r="A1867" s="33">
        <v>169209.0</v>
      </c>
    </row>
    <row r="1868" ht="15.75" customHeight="1">
      <c r="A1868" s="33">
        <v>226297.0</v>
      </c>
    </row>
    <row r="1869" ht="15.75" customHeight="1">
      <c r="A1869" s="33">
        <v>230797.0</v>
      </c>
    </row>
    <row r="1870" ht="15.75" customHeight="1">
      <c r="A1870" s="33">
        <v>237764.0</v>
      </c>
    </row>
    <row r="1871" ht="15.75" customHeight="1">
      <c r="A1871" s="33">
        <v>205929.0</v>
      </c>
    </row>
    <row r="1872" ht="15.75" customHeight="1">
      <c r="A1872" s="33">
        <v>240486.0</v>
      </c>
    </row>
    <row r="1873" ht="15.75" customHeight="1">
      <c r="A1873" s="33">
        <v>225786.0</v>
      </c>
    </row>
    <row r="1874" ht="15.75" customHeight="1">
      <c r="A1874" s="33">
        <v>225742.0</v>
      </c>
    </row>
    <row r="1875" ht="15.75" customHeight="1">
      <c r="A1875" s="33">
        <v>207746.0</v>
      </c>
    </row>
    <row r="1876" ht="15.75" customHeight="1">
      <c r="A1876" s="33">
        <v>54984.0</v>
      </c>
    </row>
    <row r="1877" ht="15.75" customHeight="1">
      <c r="A1877" s="33">
        <v>213235.0</v>
      </c>
    </row>
    <row r="1878" ht="15.75" customHeight="1">
      <c r="A1878" s="33">
        <v>240391.0</v>
      </c>
    </row>
    <row r="1879" ht="15.75" customHeight="1">
      <c r="A1879" s="33">
        <v>240680.0</v>
      </c>
    </row>
    <row r="1880" ht="15.75" customHeight="1">
      <c r="A1880" s="33">
        <v>169159.0</v>
      </c>
    </row>
    <row r="1881" ht="15.75" customHeight="1">
      <c r="A1881" s="33">
        <v>150874.0</v>
      </c>
    </row>
    <row r="1882" ht="15.75" customHeight="1">
      <c r="A1882" s="33">
        <v>205917.0</v>
      </c>
    </row>
    <row r="1883" ht="15.75" customHeight="1">
      <c r="A1883" s="33">
        <v>236217.0</v>
      </c>
    </row>
    <row r="1884" ht="15.75" customHeight="1">
      <c r="A1884" s="33">
        <v>240412.0</v>
      </c>
    </row>
    <row r="1885" ht="15.75" customHeight="1">
      <c r="A1885" s="33">
        <v>57860.0</v>
      </c>
    </row>
    <row r="1886" ht="15.75" customHeight="1">
      <c r="A1886" s="33">
        <v>200962.0</v>
      </c>
    </row>
    <row r="1887" ht="15.75" customHeight="1">
      <c r="A1887" s="33">
        <v>222470.0</v>
      </c>
    </row>
    <row r="1888" ht="15.75" customHeight="1">
      <c r="A1888" s="33">
        <v>227537.0</v>
      </c>
    </row>
    <row r="1889" ht="15.75" customHeight="1">
      <c r="A1889" s="33">
        <v>237288.0</v>
      </c>
    </row>
    <row r="1890" ht="15.75" customHeight="1">
      <c r="A1890" s="33">
        <v>239874.0</v>
      </c>
    </row>
    <row r="1891" ht="15.75" customHeight="1">
      <c r="A1891" s="33">
        <v>223927.0</v>
      </c>
    </row>
    <row r="1892" ht="15.75" customHeight="1">
      <c r="A1892" s="33">
        <v>223928.0</v>
      </c>
    </row>
    <row r="1893" ht="15.75" customHeight="1">
      <c r="A1893" s="33">
        <v>206479.0</v>
      </c>
    </row>
    <row r="1894" ht="15.75" customHeight="1">
      <c r="A1894" s="33">
        <v>225679.0</v>
      </c>
    </row>
    <row r="1895" ht="15.75" customHeight="1">
      <c r="A1895" s="33">
        <v>122787.0</v>
      </c>
    </row>
    <row r="1896" ht="15.75" customHeight="1">
      <c r="A1896" s="33">
        <v>240518.0</v>
      </c>
    </row>
    <row r="1897" ht="15.75" customHeight="1">
      <c r="A1897" s="33">
        <v>220191.0</v>
      </c>
    </row>
    <row r="1898" ht="15.75" customHeight="1">
      <c r="A1898" s="33">
        <v>237759.0</v>
      </c>
    </row>
    <row r="1899" ht="15.75" customHeight="1">
      <c r="A1899" s="33">
        <v>240399.0</v>
      </c>
    </row>
    <row r="1900" ht="15.75" customHeight="1">
      <c r="A1900" s="33">
        <v>225842.0</v>
      </c>
    </row>
    <row r="1901" ht="15.75" customHeight="1">
      <c r="A1901" s="33">
        <v>206020.0</v>
      </c>
    </row>
    <row r="1902" ht="15.75" customHeight="1">
      <c r="A1902" s="33">
        <v>221020.0</v>
      </c>
    </row>
    <row r="1903" ht="15.75" customHeight="1">
      <c r="A1903" s="33">
        <v>150856.0</v>
      </c>
    </row>
    <row r="1904" ht="15.75" customHeight="1">
      <c r="A1904" s="33">
        <v>237772.0</v>
      </c>
    </row>
    <row r="1905" ht="15.75" customHeight="1">
      <c r="A1905" s="33">
        <v>225758.0</v>
      </c>
    </row>
    <row r="1906" ht="15.75" customHeight="1">
      <c r="A1906" s="33">
        <v>226262.0</v>
      </c>
    </row>
    <row r="1907" ht="15.75" customHeight="1">
      <c r="A1907" s="33">
        <v>214120.0</v>
      </c>
    </row>
    <row r="1908" ht="15.75" customHeight="1">
      <c r="A1908" s="33">
        <v>211588.0</v>
      </c>
    </row>
    <row r="1909" ht="15.75" customHeight="1">
      <c r="A1909" s="33">
        <v>212029.0</v>
      </c>
    </row>
    <row r="1910" ht="15.75" customHeight="1">
      <c r="A1910" s="33">
        <v>223931.0</v>
      </c>
    </row>
    <row r="1911" ht="15.75" customHeight="1">
      <c r="A1911" s="33">
        <v>211129.0</v>
      </c>
    </row>
    <row r="1912" ht="15.75" customHeight="1">
      <c r="A1912" s="33">
        <v>154921.0</v>
      </c>
    </row>
    <row r="1913" ht="15.75" customHeight="1">
      <c r="A1913" s="33">
        <v>223121.0</v>
      </c>
    </row>
    <row r="1914" ht="15.75" customHeight="1">
      <c r="A1914" s="33">
        <v>211597.0</v>
      </c>
    </row>
    <row r="1915" ht="15.75" customHeight="1">
      <c r="A1915" s="33">
        <v>224014.0</v>
      </c>
    </row>
    <row r="1916" ht="15.75" customHeight="1">
      <c r="A1916" s="33">
        <v>207355.0</v>
      </c>
    </row>
    <row r="1917" ht="15.75" customHeight="1">
      <c r="A1917" s="33">
        <v>205908.0</v>
      </c>
    </row>
    <row r="1918" ht="15.75" customHeight="1">
      <c r="A1918" s="33">
        <v>214553.0</v>
      </c>
    </row>
    <row r="1919" ht="15.75" customHeight="1">
      <c r="A1919" s="33">
        <v>222376.0</v>
      </c>
    </row>
    <row r="1920" ht="15.75" customHeight="1">
      <c r="A1920" s="33">
        <v>82996.0</v>
      </c>
    </row>
    <row r="1921" ht="15.75" customHeight="1">
      <c r="A1921" s="33">
        <v>205928.0</v>
      </c>
    </row>
    <row r="1922" ht="15.75" customHeight="1">
      <c r="A1922" s="33">
        <v>213086.0</v>
      </c>
    </row>
    <row r="1923" ht="15.75" customHeight="1">
      <c r="A1923" s="33">
        <v>229546.0</v>
      </c>
    </row>
    <row r="1924" ht="15.75" customHeight="1">
      <c r="A1924" s="33">
        <v>229549.0</v>
      </c>
    </row>
    <row r="1925" ht="15.75" customHeight="1">
      <c r="A1925" s="33">
        <v>214215.0</v>
      </c>
    </row>
    <row r="1926" ht="15.75" customHeight="1">
      <c r="A1926" s="33">
        <v>213365.0</v>
      </c>
    </row>
    <row r="1927" ht="15.75" customHeight="1">
      <c r="A1927" s="33">
        <v>149127.0</v>
      </c>
    </row>
    <row r="1928" ht="15.75" customHeight="1">
      <c r="A1928" s="33">
        <v>207818.0</v>
      </c>
    </row>
    <row r="1929" ht="15.75" customHeight="1">
      <c r="A1929" s="33">
        <v>206060.0</v>
      </c>
    </row>
    <row r="1930" ht="15.75" customHeight="1">
      <c r="A1930" s="33">
        <v>225700.0</v>
      </c>
    </row>
    <row r="1931" ht="15.75" customHeight="1">
      <c r="A1931" s="33">
        <v>225720.0</v>
      </c>
    </row>
    <row r="1932" ht="15.75" customHeight="1">
      <c r="A1932" s="33">
        <v>214223.0</v>
      </c>
    </row>
    <row r="1933" ht="15.75" customHeight="1">
      <c r="A1933" s="33">
        <v>207141.0</v>
      </c>
    </row>
    <row r="1934" ht="15.75" customHeight="1">
      <c r="A1934" s="33">
        <v>46191.0</v>
      </c>
    </row>
    <row r="1935" ht="15.75" customHeight="1">
      <c r="A1935" s="33">
        <v>220171.0</v>
      </c>
    </row>
    <row r="1936" ht="15.75" customHeight="1">
      <c r="A1936" s="33">
        <v>226312.0</v>
      </c>
    </row>
    <row r="1937" ht="15.75" customHeight="1">
      <c r="A1937" s="33">
        <v>206007.0</v>
      </c>
    </row>
    <row r="1938" ht="15.75" customHeight="1">
      <c r="A1938" s="33">
        <v>240198.0</v>
      </c>
    </row>
    <row r="1939" ht="15.75" customHeight="1">
      <c r="A1939" s="33">
        <v>205894.0</v>
      </c>
    </row>
    <row r="1940" ht="15.75" customHeight="1">
      <c r="A1940" s="33">
        <v>213008.0</v>
      </c>
    </row>
    <row r="1941" ht="15.75" customHeight="1">
      <c r="A1941" s="33">
        <v>224802.0</v>
      </c>
    </row>
    <row r="1942" ht="15.75" customHeight="1">
      <c r="A1942" s="33">
        <v>213030.0</v>
      </c>
    </row>
    <row r="1943" ht="15.75" customHeight="1">
      <c r="A1943" s="33">
        <v>240377.0</v>
      </c>
    </row>
    <row r="1944" ht="15.75" customHeight="1">
      <c r="A1944" s="33">
        <v>240354.0</v>
      </c>
    </row>
    <row r="1945" ht="15.75" customHeight="1">
      <c r="A1945" s="33">
        <v>240497.0</v>
      </c>
    </row>
    <row r="1946" ht="15.75" customHeight="1">
      <c r="A1946" s="33">
        <v>240464.0</v>
      </c>
    </row>
    <row r="1947" ht="15.75" customHeight="1">
      <c r="A1947" s="33">
        <v>205893.0</v>
      </c>
    </row>
    <row r="1948" ht="15.75" customHeight="1">
      <c r="A1948" s="33">
        <v>240378.0</v>
      </c>
    </row>
    <row r="1949" ht="15.75" customHeight="1">
      <c r="A1949" s="33">
        <v>236961.0</v>
      </c>
    </row>
    <row r="1950" ht="15.75" customHeight="1">
      <c r="A1950" s="33">
        <v>211623.0</v>
      </c>
    </row>
    <row r="1951" ht="15.75" customHeight="1">
      <c r="A1951" s="33">
        <v>220442.0</v>
      </c>
    </row>
    <row r="1952" ht="15.75" customHeight="1">
      <c r="A1952" s="33">
        <v>240393.0</v>
      </c>
    </row>
    <row r="1953" ht="15.75" customHeight="1">
      <c r="A1953" s="33">
        <v>240343.0</v>
      </c>
    </row>
    <row r="1954" ht="15.75" customHeight="1">
      <c r="A1954" s="33">
        <v>225808.0</v>
      </c>
    </row>
    <row r="1955" ht="15.75" customHeight="1">
      <c r="A1955" s="33">
        <v>238610.0</v>
      </c>
    </row>
    <row r="1956" ht="15.75" customHeight="1">
      <c r="A1956" s="33">
        <v>205895.0</v>
      </c>
    </row>
    <row r="1957" ht="15.75" customHeight="1">
      <c r="A1957" s="33">
        <v>165308.0</v>
      </c>
    </row>
    <row r="1958" ht="15.75" customHeight="1">
      <c r="A1958" s="33">
        <v>171934.0</v>
      </c>
    </row>
    <row r="1959" ht="15.75" customHeight="1">
      <c r="A1959" s="33">
        <v>236223.0</v>
      </c>
    </row>
    <row r="1960" ht="15.75" customHeight="1">
      <c r="A1960" s="33">
        <v>207750.0</v>
      </c>
    </row>
    <row r="1961" ht="15.75" customHeight="1">
      <c r="A1961" s="33">
        <v>240478.0</v>
      </c>
    </row>
    <row r="1962" ht="15.75" customHeight="1">
      <c r="A1962" s="33">
        <v>225872.0</v>
      </c>
    </row>
    <row r="1963" ht="15.75" customHeight="1">
      <c r="A1963" s="33">
        <v>240366.0</v>
      </c>
    </row>
    <row r="1964" ht="15.75" customHeight="1">
      <c r="A1964" s="33">
        <v>207135.0</v>
      </c>
    </row>
    <row r="1965" ht="15.75" customHeight="1">
      <c r="A1965" s="33">
        <v>57797.0</v>
      </c>
    </row>
    <row r="1966" ht="15.75" customHeight="1">
      <c r="A1966" s="33">
        <v>225867.0</v>
      </c>
    </row>
    <row r="1967" ht="15.75" customHeight="1">
      <c r="A1967" s="33">
        <v>221243.0</v>
      </c>
    </row>
    <row r="1968" ht="15.75" customHeight="1">
      <c r="A1968" s="33">
        <v>237777.0</v>
      </c>
    </row>
    <row r="1969" ht="15.75" customHeight="1">
      <c r="A1969" s="33">
        <v>168916.0</v>
      </c>
    </row>
    <row r="1970" ht="15.75" customHeight="1">
      <c r="A1970" s="33">
        <v>221375.0</v>
      </c>
    </row>
    <row r="1971" ht="15.75" customHeight="1">
      <c r="A1971" s="33">
        <v>221380.0</v>
      </c>
    </row>
    <row r="1972" ht="15.75" customHeight="1">
      <c r="A1972" s="33">
        <v>227150.0</v>
      </c>
    </row>
    <row r="1973" ht="15.75" customHeight="1">
      <c r="A1973" s="33">
        <v>229545.0</v>
      </c>
    </row>
    <row r="1974" ht="15.75" customHeight="1">
      <c r="A1974" s="33">
        <v>57193.0</v>
      </c>
    </row>
    <row r="1975" ht="15.75" customHeight="1">
      <c r="A1975" s="33">
        <v>210671.0</v>
      </c>
    </row>
    <row r="1976" ht="15.75" customHeight="1">
      <c r="A1976" s="33">
        <v>213178.0</v>
      </c>
    </row>
    <row r="1977" ht="15.75" customHeight="1">
      <c r="A1977" s="33">
        <v>236450.0</v>
      </c>
    </row>
    <row r="1978" ht="15.75" customHeight="1">
      <c r="A1978" s="33">
        <v>211196.0</v>
      </c>
    </row>
    <row r="1979" ht="15.75" customHeight="1">
      <c r="A1979" s="33">
        <v>180296.0</v>
      </c>
    </row>
    <row r="1980" ht="15.75" customHeight="1">
      <c r="A1980" s="33">
        <v>205831.0</v>
      </c>
    </row>
    <row r="1981" ht="15.75" customHeight="1">
      <c r="A1981" s="33">
        <v>240743.0</v>
      </c>
    </row>
    <row r="1982" ht="15.75" customHeight="1">
      <c r="A1982" s="33">
        <v>225775.0</v>
      </c>
    </row>
    <row r="1983" ht="15.75" customHeight="1">
      <c r="A1983" s="33">
        <v>226264.0</v>
      </c>
    </row>
    <row r="1984" ht="15.75" customHeight="1">
      <c r="A1984" s="33">
        <v>240417.0</v>
      </c>
    </row>
    <row r="1985" ht="15.75" customHeight="1">
      <c r="A1985" s="33">
        <v>207186.0</v>
      </c>
    </row>
    <row r="1986" ht="15.75" customHeight="1">
      <c r="A1986" s="33">
        <v>240168.0</v>
      </c>
    </row>
    <row r="1987" ht="15.75" customHeight="1">
      <c r="A1987" s="33">
        <v>213032.0</v>
      </c>
    </row>
    <row r="1988" ht="15.75" customHeight="1">
      <c r="A1988" s="33">
        <v>214081.0</v>
      </c>
    </row>
    <row r="1989" ht="15.75" customHeight="1">
      <c r="A1989" s="33">
        <v>213087.0</v>
      </c>
    </row>
    <row r="1990" ht="15.75" customHeight="1">
      <c r="A1990" s="33">
        <v>205892.0</v>
      </c>
    </row>
    <row r="1991" ht="15.75" customHeight="1">
      <c r="A1991" s="33">
        <v>129164.0</v>
      </c>
    </row>
    <row r="1992" ht="15.75" customHeight="1">
      <c r="A1992" s="33">
        <v>56383.0</v>
      </c>
    </row>
    <row r="1993" ht="15.75" customHeight="1">
      <c r="A1993" s="33">
        <v>173549.0</v>
      </c>
    </row>
    <row r="1994" ht="15.75" customHeight="1">
      <c r="A1994" s="33">
        <v>239357.0</v>
      </c>
    </row>
    <row r="1995" ht="15.75" customHeight="1">
      <c r="A1995" s="33">
        <v>180294.0</v>
      </c>
    </row>
    <row r="1996" ht="15.75" customHeight="1">
      <c r="A1996" s="33">
        <v>240369.0</v>
      </c>
    </row>
    <row r="1997" ht="15.75" customHeight="1">
      <c r="A1997" s="33">
        <v>222469.0</v>
      </c>
    </row>
    <row r="1998" ht="15.75" customHeight="1">
      <c r="A1998" s="33">
        <v>224613.0</v>
      </c>
    </row>
    <row r="1999" ht="15.75" customHeight="1">
      <c r="A1999" s="33">
        <v>225921.0</v>
      </c>
    </row>
    <row r="2000" ht="15.75" customHeight="1">
      <c r="A2000" s="33">
        <v>213514.0</v>
      </c>
    </row>
    <row r="2001" ht="15.75" customHeight="1">
      <c r="A2001" s="33">
        <v>205926.0</v>
      </c>
    </row>
    <row r="2002" ht="15.75" customHeight="1">
      <c r="A2002" s="33">
        <v>205927.0</v>
      </c>
    </row>
    <row r="2003" ht="15.75" customHeight="1">
      <c r="A2003" s="33">
        <v>206077.0</v>
      </c>
    </row>
    <row r="2004" ht="15.75" customHeight="1">
      <c r="A2004" s="33">
        <v>225876.0</v>
      </c>
    </row>
    <row r="2005" ht="15.75" customHeight="1">
      <c r="A2005" s="33">
        <v>207163.0</v>
      </c>
    </row>
    <row r="2006" ht="15.75" customHeight="1">
      <c r="A2006" s="33">
        <v>240344.0</v>
      </c>
    </row>
    <row r="2007" ht="15.75" customHeight="1">
      <c r="A2007" s="33">
        <v>211628.0</v>
      </c>
    </row>
    <row r="2008" ht="15.75" customHeight="1">
      <c r="A2008" s="33">
        <v>101621.0</v>
      </c>
    </row>
    <row r="2009" ht="15.75" customHeight="1">
      <c r="A2009" s="33">
        <v>213102.0</v>
      </c>
    </row>
    <row r="2010" ht="15.75" customHeight="1">
      <c r="A2010" s="33">
        <v>211308.0</v>
      </c>
    </row>
    <row r="2011" ht="15.75" customHeight="1">
      <c r="A2011" s="33">
        <v>210470.0</v>
      </c>
    </row>
    <row r="2012" ht="15.75" customHeight="1">
      <c r="A2012" s="33">
        <v>222378.0</v>
      </c>
    </row>
    <row r="2013" ht="15.75" customHeight="1">
      <c r="A2013" s="33">
        <v>207391.0</v>
      </c>
    </row>
    <row r="2014" ht="15.75" customHeight="1">
      <c r="A2014" s="33">
        <v>206100.0</v>
      </c>
    </row>
    <row r="2015" ht="15.75" customHeight="1">
      <c r="A2015" s="33">
        <v>237477.0</v>
      </c>
    </row>
    <row r="2016" ht="15.75" customHeight="1">
      <c r="A2016" s="33">
        <v>53317.0</v>
      </c>
    </row>
    <row r="2017" ht="15.75" customHeight="1">
      <c r="A2017" s="33">
        <v>206010.0</v>
      </c>
    </row>
    <row r="2018" ht="15.75" customHeight="1">
      <c r="A2018" s="33">
        <v>208034.0</v>
      </c>
    </row>
    <row r="2019" ht="15.75" customHeight="1">
      <c r="A2019" s="33">
        <v>206050.0</v>
      </c>
    </row>
    <row r="2020" ht="15.75" customHeight="1">
      <c r="A2020" s="33">
        <v>124180.0</v>
      </c>
    </row>
    <row r="2021" ht="15.75" customHeight="1">
      <c r="A2021" s="33">
        <v>178903.0</v>
      </c>
    </row>
    <row r="2022" ht="15.75" customHeight="1">
      <c r="A2022" s="33">
        <v>187099.0</v>
      </c>
    </row>
    <row r="2023" ht="15.75" customHeight="1">
      <c r="A2023" s="33">
        <v>222464.0</v>
      </c>
    </row>
    <row r="2024" ht="15.75" customHeight="1">
      <c r="A2024" s="33">
        <v>226348.0</v>
      </c>
    </row>
    <row r="2025" ht="15.75" customHeight="1">
      <c r="A2025" s="33">
        <v>207160.0</v>
      </c>
    </row>
    <row r="2026" ht="15.75" customHeight="1">
      <c r="A2026" s="33">
        <v>239376.0</v>
      </c>
    </row>
    <row r="2027" ht="15.75" customHeight="1">
      <c r="A2027" s="33">
        <v>236822.0</v>
      </c>
    </row>
    <row r="2028" ht="15.75" customHeight="1">
      <c r="A2028" s="33">
        <v>224824.0</v>
      </c>
    </row>
    <row r="2029" ht="15.75" customHeight="1">
      <c r="A2029" s="33">
        <v>210631.0</v>
      </c>
    </row>
    <row r="2030" ht="15.75" customHeight="1">
      <c r="A2030" s="33">
        <v>226323.0</v>
      </c>
    </row>
    <row r="2031" ht="15.75" customHeight="1">
      <c r="A2031" s="33">
        <v>126483.0</v>
      </c>
    </row>
    <row r="2032" ht="15.75" customHeight="1">
      <c r="A2032" s="33">
        <v>237278.0</v>
      </c>
    </row>
    <row r="2033" ht="15.75" customHeight="1">
      <c r="A2033" s="33">
        <v>237783.0</v>
      </c>
    </row>
    <row r="2034" ht="15.75" customHeight="1">
      <c r="A2034" s="33">
        <v>240513.0</v>
      </c>
    </row>
    <row r="2035" ht="15.75" customHeight="1">
      <c r="A2035" s="33">
        <v>213000.0</v>
      </c>
    </row>
    <row r="2036" ht="15.75" customHeight="1">
      <c r="A2036" s="33">
        <v>213035.0</v>
      </c>
    </row>
    <row r="2037" ht="15.75" customHeight="1">
      <c r="A2037" s="33">
        <v>240749.0</v>
      </c>
    </row>
    <row r="2038" ht="15.75" customHeight="1">
      <c r="A2038" s="33">
        <v>238291.0</v>
      </c>
    </row>
    <row r="2039" ht="15.75" customHeight="1">
      <c r="A2039" s="33">
        <v>238594.0</v>
      </c>
    </row>
    <row r="2040" ht="15.75" customHeight="1">
      <c r="A2040" s="33">
        <v>238601.0</v>
      </c>
    </row>
    <row r="2041" ht="15.75" customHeight="1">
      <c r="A2041" s="33">
        <v>238604.0</v>
      </c>
    </row>
    <row r="2042" ht="15.75" customHeight="1">
      <c r="A2042" s="33">
        <v>238609.0</v>
      </c>
    </row>
    <row r="2043" ht="15.75" customHeight="1">
      <c r="A2043" s="33">
        <v>238615.0</v>
      </c>
    </row>
    <row r="2044" ht="15.75" customHeight="1">
      <c r="A2044" s="33">
        <v>211624.0</v>
      </c>
    </row>
    <row r="2045" ht="15.75" customHeight="1">
      <c r="A2045" s="33">
        <v>237756.0</v>
      </c>
    </row>
    <row r="2046" ht="15.75" customHeight="1">
      <c r="A2046" s="33">
        <v>205891.0</v>
      </c>
    </row>
    <row r="2047" ht="15.75" customHeight="1">
      <c r="A2047" s="33">
        <v>225514.0</v>
      </c>
    </row>
    <row r="2048" ht="15.75" customHeight="1">
      <c r="A2048" s="33">
        <v>205901.0</v>
      </c>
    </row>
    <row r="2049" ht="15.75" customHeight="1">
      <c r="A2049" s="33">
        <v>240436.0</v>
      </c>
    </row>
    <row r="2050" ht="15.75" customHeight="1">
      <c r="A2050" s="33">
        <v>206011.0</v>
      </c>
    </row>
    <row r="2051" ht="15.75" customHeight="1">
      <c r="A2051" s="33">
        <v>195740.0</v>
      </c>
    </row>
    <row r="2052" ht="15.75" customHeight="1">
      <c r="A2052" s="33">
        <v>225123.0</v>
      </c>
    </row>
    <row r="2053" ht="15.75" customHeight="1">
      <c r="A2053" s="33">
        <v>225899.0</v>
      </c>
    </row>
    <row r="2054" ht="15.75" customHeight="1">
      <c r="A2054" s="33">
        <v>224012.0</v>
      </c>
    </row>
    <row r="2055" ht="15.75" customHeight="1">
      <c r="A2055" s="33">
        <v>240361.0</v>
      </c>
    </row>
    <row r="2056" ht="15.75" customHeight="1">
      <c r="A2056" s="33">
        <v>240444.0</v>
      </c>
    </row>
    <row r="2057" ht="15.75" customHeight="1">
      <c r="A2057" s="33">
        <v>204486.0</v>
      </c>
    </row>
    <row r="2058" ht="15.75" customHeight="1">
      <c r="A2058" s="33">
        <v>172729.0</v>
      </c>
    </row>
    <row r="2059" ht="15.75" customHeight="1">
      <c r="A2059" s="33">
        <v>239278.0</v>
      </c>
    </row>
    <row r="2060" ht="15.75" customHeight="1">
      <c r="A2060" s="33">
        <v>228786.0</v>
      </c>
    </row>
    <row r="2061" ht="15.75" customHeight="1">
      <c r="A2061" s="33">
        <v>226325.0</v>
      </c>
    </row>
    <row r="2062" ht="15.75" customHeight="1">
      <c r="A2062" s="33">
        <v>169048.0</v>
      </c>
    </row>
    <row r="2063" ht="15.75" customHeight="1">
      <c r="A2063" s="33">
        <v>213023.0</v>
      </c>
    </row>
    <row r="2064" ht="15.75" customHeight="1">
      <c r="A2064" s="33">
        <v>109762.0</v>
      </c>
    </row>
    <row r="2065" ht="15.75" customHeight="1">
      <c r="A2065" s="33">
        <v>240770.0</v>
      </c>
    </row>
    <row r="2066" ht="15.75" customHeight="1">
      <c r="A2066" s="33">
        <v>213131.0</v>
      </c>
    </row>
    <row r="2067" ht="15.75" customHeight="1">
      <c r="A2067" s="33">
        <v>210739.0</v>
      </c>
    </row>
    <row r="2068" ht="15.75" customHeight="1">
      <c r="A2068" s="33">
        <v>205896.0</v>
      </c>
    </row>
    <row r="2069" ht="15.75" customHeight="1">
      <c r="A2069" s="33">
        <v>207356.0</v>
      </c>
    </row>
    <row r="2070" ht="15.75" customHeight="1">
      <c r="A2070" s="33">
        <v>221393.0</v>
      </c>
    </row>
    <row r="2071" ht="15.75" customHeight="1">
      <c r="A2071" s="33">
        <v>237769.0</v>
      </c>
    </row>
    <row r="2072" ht="15.75" customHeight="1">
      <c r="A2072" s="33">
        <v>238607.0</v>
      </c>
    </row>
    <row r="2073" ht="15.75" customHeight="1">
      <c r="A2073" s="33">
        <v>211033.0</v>
      </c>
    </row>
    <row r="2074" ht="15.75" customHeight="1">
      <c r="A2074" s="33">
        <v>222372.0</v>
      </c>
    </row>
    <row r="2075" ht="15.75" customHeight="1">
      <c r="A2075" s="33">
        <v>225824.0</v>
      </c>
    </row>
    <row r="2076" ht="15.75" customHeight="1">
      <c r="A2076" s="33">
        <v>238301.0</v>
      </c>
    </row>
    <row r="2077" ht="15.75" customHeight="1">
      <c r="A2077" s="33">
        <v>108570.0</v>
      </c>
    </row>
    <row r="2078" ht="15.75" customHeight="1">
      <c r="A2078" s="33">
        <v>237915.0</v>
      </c>
    </row>
    <row r="2079" ht="15.75" customHeight="1">
      <c r="A2079" s="33">
        <v>207523.0</v>
      </c>
    </row>
    <row r="2080" ht="15.75" customHeight="1">
      <c r="A2080" s="33">
        <v>214212.0</v>
      </c>
    </row>
    <row r="2081" ht="15.75" customHeight="1">
      <c r="A2081" s="33">
        <v>218978.0</v>
      </c>
    </row>
    <row r="2082" ht="15.75" customHeight="1">
      <c r="A2082" s="33">
        <v>206031.0</v>
      </c>
    </row>
    <row r="2083" ht="15.75" customHeight="1">
      <c r="A2083" s="33">
        <v>169370.0</v>
      </c>
    </row>
    <row r="2084" ht="15.75" customHeight="1">
      <c r="A2084" s="33">
        <v>220649.0</v>
      </c>
    </row>
    <row r="2085" ht="15.75" customHeight="1">
      <c r="A2085" s="33">
        <v>170584.0</v>
      </c>
    </row>
    <row r="2086" ht="15.75" customHeight="1">
      <c r="A2086" s="33">
        <v>213054.0</v>
      </c>
    </row>
    <row r="2087" ht="15.75" customHeight="1">
      <c r="A2087" s="33">
        <v>206009.0</v>
      </c>
    </row>
    <row r="2088" ht="15.75" customHeight="1">
      <c r="A2088" s="33">
        <v>206084.0</v>
      </c>
    </row>
    <row r="2089" ht="15.75" customHeight="1">
      <c r="A2089" s="33">
        <v>226187.0</v>
      </c>
    </row>
    <row r="2090" ht="15.75" customHeight="1">
      <c r="A2090" s="33">
        <v>238545.0</v>
      </c>
    </row>
    <row r="2091" ht="15.75" customHeight="1">
      <c r="A2091" s="33">
        <v>240751.0</v>
      </c>
    </row>
    <row r="2092" ht="15.75" customHeight="1">
      <c r="A2092" s="33">
        <v>227759.0</v>
      </c>
    </row>
    <row r="2093" ht="15.75" customHeight="1">
      <c r="A2093" s="33">
        <v>240455.0</v>
      </c>
    </row>
    <row r="2094" ht="15.75" customHeight="1">
      <c r="A2094" s="33">
        <v>240202.0</v>
      </c>
    </row>
    <row r="2095" ht="15.75" customHeight="1">
      <c r="A2095" s="33">
        <v>240435.0</v>
      </c>
    </row>
    <row r="2096" ht="15.75" customHeight="1">
      <c r="A2096" s="33">
        <v>240505.0</v>
      </c>
    </row>
    <row r="2097" ht="15.75" customHeight="1">
      <c r="A2097" s="33">
        <v>206080.0</v>
      </c>
    </row>
    <row r="2098" ht="15.75" customHeight="1">
      <c r="A2098" s="33">
        <v>239724.0</v>
      </c>
    </row>
    <row r="2099" ht="15.75" customHeight="1">
      <c r="A2099" s="33">
        <v>240375.0</v>
      </c>
    </row>
    <row r="2100" ht="15.75" customHeight="1">
      <c r="A2100" s="33">
        <v>225780.0</v>
      </c>
    </row>
    <row r="2101" ht="15.75" customHeight="1">
      <c r="A2101" s="33">
        <v>223681.0</v>
      </c>
    </row>
    <row r="2102" ht="15.75" customHeight="1">
      <c r="A2102" s="33">
        <v>209783.0</v>
      </c>
    </row>
    <row r="2103" ht="15.75" customHeight="1">
      <c r="A2103" s="33">
        <v>220176.0</v>
      </c>
    </row>
    <row r="2104" ht="15.75" customHeight="1">
      <c r="A2104" s="33">
        <v>226326.0</v>
      </c>
    </row>
    <row r="2105" ht="15.75" customHeight="1">
      <c r="A2105" s="33">
        <v>227319.0</v>
      </c>
    </row>
    <row r="2106" ht="15.75" customHeight="1">
      <c r="A2106" s="33">
        <v>237218.0</v>
      </c>
    </row>
    <row r="2107" ht="15.75" customHeight="1">
      <c r="A2107" s="33">
        <v>240335.0</v>
      </c>
    </row>
    <row r="2108" ht="15.75" customHeight="1">
      <c r="A2108" s="33">
        <v>153142.0</v>
      </c>
    </row>
    <row r="2109" ht="15.75" customHeight="1">
      <c r="A2109" s="33">
        <v>217097.0</v>
      </c>
    </row>
    <row r="2110" ht="15.75" customHeight="1">
      <c r="A2110" s="33">
        <v>205919.0</v>
      </c>
    </row>
    <row r="2111" ht="15.75" customHeight="1">
      <c r="A2111" s="33">
        <v>124682.0</v>
      </c>
    </row>
    <row r="2112" ht="15.75" customHeight="1">
      <c r="A2112" s="33">
        <v>240358.0</v>
      </c>
    </row>
    <row r="2113" ht="15.75" customHeight="1">
      <c r="A2113" s="33">
        <v>240443.0</v>
      </c>
    </row>
    <row r="2114" ht="15.75" customHeight="1">
      <c r="A2114" s="33">
        <v>240360.0</v>
      </c>
    </row>
    <row r="2115" ht="15.75" customHeight="1">
      <c r="A2115" s="33">
        <v>225750.0</v>
      </c>
    </row>
    <row r="2116" ht="15.75" customHeight="1">
      <c r="A2116" s="33">
        <v>129865.0</v>
      </c>
    </row>
    <row r="2117" ht="15.75" customHeight="1">
      <c r="A2117" s="33">
        <v>110531.0</v>
      </c>
    </row>
    <row r="2118" ht="15.75" customHeight="1">
      <c r="A2118" s="33">
        <v>219890.0</v>
      </c>
    </row>
    <row r="2119" ht="15.75" customHeight="1">
      <c r="A2119" s="33">
        <v>162943.0</v>
      </c>
    </row>
    <row r="2120" ht="15.75" customHeight="1">
      <c r="A2120" s="33">
        <v>240499.0</v>
      </c>
    </row>
    <row r="2121" ht="15.75" customHeight="1">
      <c r="A2121" s="33">
        <v>228092.0</v>
      </c>
    </row>
    <row r="2122" ht="15.75" customHeight="1">
      <c r="A2122" s="33">
        <v>236668.0</v>
      </c>
    </row>
    <row r="2123" ht="15.75" customHeight="1">
      <c r="A2123" s="33">
        <v>240419.0</v>
      </c>
    </row>
    <row r="2124" ht="15.75" customHeight="1">
      <c r="A2124" s="33">
        <v>240367.0</v>
      </c>
    </row>
    <row r="2125" ht="15.75" customHeight="1">
      <c r="A2125" s="33">
        <v>113972.0</v>
      </c>
    </row>
    <row r="2126" ht="15.75" customHeight="1">
      <c r="A2126" s="33">
        <v>85936.0</v>
      </c>
    </row>
    <row r="2127" ht="15.75" customHeight="1">
      <c r="A2127" s="33">
        <v>85987.0</v>
      </c>
    </row>
    <row r="2128" ht="15.75" customHeight="1">
      <c r="A2128" s="33">
        <v>240355.0</v>
      </c>
    </row>
    <row r="2129" ht="15.75" customHeight="1">
      <c r="A2129" s="33">
        <v>240774.0</v>
      </c>
    </row>
    <row r="2130" ht="15.75" customHeight="1">
      <c r="A2130" s="33">
        <v>221340.0</v>
      </c>
    </row>
    <row r="2131" ht="15.75" customHeight="1">
      <c r="A2131" s="33">
        <v>227938.0</v>
      </c>
    </row>
    <row r="2132" ht="15.75" customHeight="1">
      <c r="A2132" s="33">
        <v>229550.0</v>
      </c>
    </row>
    <row r="2133" ht="15.75" customHeight="1">
      <c r="A2133" s="33">
        <v>229553.0</v>
      </c>
    </row>
    <row r="2134" ht="15.75" customHeight="1">
      <c r="A2134" s="33">
        <v>211186.0</v>
      </c>
    </row>
    <row r="2135" ht="15.75" customHeight="1">
      <c r="A2135" s="33">
        <v>240594.0</v>
      </c>
    </row>
    <row r="2136" ht="15.75" customHeight="1">
      <c r="A2136" s="33">
        <v>240437.0</v>
      </c>
    </row>
    <row r="2137" ht="15.75" customHeight="1">
      <c r="A2137" s="33">
        <v>240356.0</v>
      </c>
    </row>
    <row r="2138" ht="15.75" customHeight="1">
      <c r="A2138" s="33">
        <v>240752.0</v>
      </c>
    </row>
    <row r="2139" ht="15.75" customHeight="1">
      <c r="A2139" s="33">
        <v>211535.0</v>
      </c>
    </row>
    <row r="2140" ht="15.75" customHeight="1">
      <c r="A2140" s="33">
        <v>226202.0</v>
      </c>
    </row>
    <row r="2141" ht="15.75" customHeight="1">
      <c r="A2141" s="33">
        <v>169289.0</v>
      </c>
    </row>
    <row r="2142" ht="15.75" customHeight="1">
      <c r="A2142" s="33">
        <v>221382.0</v>
      </c>
    </row>
    <row r="2143" ht="15.75" customHeight="1">
      <c r="A2143" s="33">
        <v>229544.0</v>
      </c>
    </row>
    <row r="2144" ht="15.75" customHeight="1">
      <c r="A2144" s="33">
        <v>229552.0</v>
      </c>
    </row>
    <row r="2145" ht="15.75" customHeight="1">
      <c r="A2145" s="33">
        <v>118622.0</v>
      </c>
    </row>
    <row r="2146" ht="15.75" customHeight="1">
      <c r="A2146" s="33">
        <v>171608.0</v>
      </c>
    </row>
    <row r="2147" ht="15.75" customHeight="1">
      <c r="A2147" s="33">
        <v>238593.0</v>
      </c>
    </row>
    <row r="2148" ht="15.75" customHeight="1">
      <c r="A2148" s="33">
        <v>238599.0</v>
      </c>
    </row>
    <row r="2149" ht="15.75" customHeight="1">
      <c r="A2149" s="33">
        <v>238608.0</v>
      </c>
    </row>
    <row r="2150" ht="15.75" customHeight="1">
      <c r="A2150" s="33">
        <v>238612.0</v>
      </c>
    </row>
    <row r="2151" ht="15.75" customHeight="1">
      <c r="A2151" s="33">
        <v>238613.0</v>
      </c>
    </row>
    <row r="2152" ht="15.75" customHeight="1">
      <c r="A2152" s="33">
        <v>240337.0</v>
      </c>
    </row>
    <row r="2153" ht="15.75" customHeight="1">
      <c r="A2153" s="33">
        <v>240362.0</v>
      </c>
    </row>
    <row r="2154" ht="15.75" customHeight="1">
      <c r="A2154" s="33">
        <v>225797.0</v>
      </c>
    </row>
    <row r="2155" ht="15.75" customHeight="1">
      <c r="A2155" s="33">
        <v>240365.0</v>
      </c>
    </row>
    <row r="2156" ht="15.75" customHeight="1">
      <c r="A2156" s="33">
        <v>226328.0</v>
      </c>
    </row>
    <row r="2157" ht="15.75" customHeight="1">
      <c r="A2157" s="33">
        <v>226329.0</v>
      </c>
    </row>
    <row r="2158" ht="15.75" customHeight="1">
      <c r="A2158" s="33">
        <v>226324.0</v>
      </c>
    </row>
    <row r="2159" ht="15.75" customHeight="1">
      <c r="A2159" s="33">
        <v>240345.0</v>
      </c>
    </row>
    <row r="2160" ht="15.75" customHeight="1">
      <c r="A2160" s="33">
        <v>204414.0</v>
      </c>
    </row>
    <row r="2161" ht="15.75" customHeight="1">
      <c r="A2161" s="33">
        <v>223350.0</v>
      </c>
    </row>
    <row r="2162" ht="15.75" customHeight="1">
      <c r="A2162" s="33">
        <v>153084.0</v>
      </c>
    </row>
    <row r="2163" ht="15.75" customHeight="1">
      <c r="A2163" s="33">
        <v>118962.0</v>
      </c>
    </row>
    <row r="2164" ht="15.75" customHeight="1">
      <c r="A2164" s="33">
        <v>240223.0</v>
      </c>
    </row>
    <row r="2165" ht="15.75" customHeight="1">
      <c r="A2165" s="33">
        <v>240744.0</v>
      </c>
    </row>
    <row r="2166" ht="15.75" customHeight="1">
      <c r="A2166" s="33">
        <v>223092.0</v>
      </c>
    </row>
    <row r="2167" ht="15.75" customHeight="1">
      <c r="A2167" s="33">
        <v>210979.0</v>
      </c>
    </row>
    <row r="2168" ht="15.75" customHeight="1">
      <c r="A2168" s="33">
        <v>130684.0</v>
      </c>
    </row>
    <row r="2169" ht="15.75" customHeight="1">
      <c r="A2169" s="33">
        <v>213005.0</v>
      </c>
    </row>
    <row r="2170" ht="15.75" customHeight="1">
      <c r="A2170" s="33">
        <v>206078.0</v>
      </c>
    </row>
    <row r="2171" ht="15.75" customHeight="1">
      <c r="A2171" s="33">
        <v>238523.0</v>
      </c>
    </row>
    <row r="2172" ht="15.75" customHeight="1">
      <c r="A2172" s="33">
        <v>237774.0</v>
      </c>
    </row>
    <row r="2173" ht="15.75" customHeight="1">
      <c r="A2173" s="33">
        <v>118933.0</v>
      </c>
    </row>
    <row r="2174" ht="15.75" customHeight="1">
      <c r="A2174" s="33">
        <v>57347.0</v>
      </c>
    </row>
    <row r="2175" ht="15.75" customHeight="1">
      <c r="A2175" s="33">
        <v>240217.0</v>
      </c>
    </row>
    <row r="2176" ht="15.75" customHeight="1">
      <c r="A2176" s="33">
        <v>57240.0</v>
      </c>
    </row>
    <row r="2177" ht="15.75" customHeight="1">
      <c r="A2177" s="33">
        <v>240350.0</v>
      </c>
    </row>
    <row r="2178" ht="15.75" customHeight="1">
      <c r="A2178" s="33">
        <v>238595.0</v>
      </c>
    </row>
    <row r="2179" ht="15.75" customHeight="1">
      <c r="A2179" s="33">
        <v>238596.0</v>
      </c>
    </row>
    <row r="2180" ht="15.75" customHeight="1">
      <c r="A2180" s="33">
        <v>238598.0</v>
      </c>
    </row>
    <row r="2181" ht="15.75" customHeight="1">
      <c r="A2181" s="33">
        <v>238600.0</v>
      </c>
    </row>
    <row r="2182" ht="15.75" customHeight="1">
      <c r="A2182" s="33">
        <v>111058.0</v>
      </c>
    </row>
    <row r="2183" ht="15.75" customHeight="1">
      <c r="A2183" s="33">
        <v>211100.0</v>
      </c>
    </row>
    <row r="2184" ht="15.75" customHeight="1">
      <c r="A2184" s="33">
        <v>149635.0</v>
      </c>
    </row>
    <row r="2185" ht="15.75" customHeight="1">
      <c r="A2185" s="33">
        <v>170628.0</v>
      </c>
    </row>
    <row r="2186" ht="15.75" customHeight="1">
      <c r="A2186" s="33">
        <v>226353.0</v>
      </c>
    </row>
    <row r="2187" ht="15.75" customHeight="1">
      <c r="A2187" s="33">
        <v>240410.0</v>
      </c>
    </row>
    <row r="2188" ht="15.75" customHeight="1">
      <c r="A2188" s="33">
        <v>240503.0</v>
      </c>
    </row>
    <row r="2189" ht="15.75" customHeight="1">
      <c r="A2189" s="33">
        <v>240406.0</v>
      </c>
    </row>
    <row r="2190" ht="15.75" customHeight="1">
      <c r="A2190" s="33">
        <v>213034.0</v>
      </c>
    </row>
    <row r="2191" ht="15.75" customHeight="1">
      <c r="A2191" s="33">
        <v>113913.0</v>
      </c>
    </row>
    <row r="2192" ht="15.75" customHeight="1">
      <c r="A2192" s="33">
        <v>225598.0</v>
      </c>
    </row>
    <row r="2193" ht="15.75" customHeight="1">
      <c r="A2193" s="33">
        <v>237035.0</v>
      </c>
    </row>
    <row r="2194" ht="15.75" customHeight="1">
      <c r="A2194" s="33">
        <v>85928.0</v>
      </c>
    </row>
    <row r="2195" ht="15.75" customHeight="1">
      <c r="A2195" s="33">
        <v>85944.0</v>
      </c>
    </row>
    <row r="2196" ht="15.75" customHeight="1">
      <c r="A2196" s="33">
        <v>110574.0</v>
      </c>
    </row>
    <row r="2197" ht="15.75" customHeight="1">
      <c r="A2197" s="33">
        <v>111074.0</v>
      </c>
    </row>
    <row r="2198" ht="15.75" customHeight="1">
      <c r="A2198" s="33">
        <v>124022.0</v>
      </c>
    </row>
    <row r="2199" ht="15.75" customHeight="1">
      <c r="A2199" s="33">
        <v>126485.0</v>
      </c>
    </row>
    <row r="2200" ht="15.75" customHeight="1">
      <c r="A2200" s="33">
        <v>126491.0</v>
      </c>
    </row>
    <row r="2201" ht="15.75" customHeight="1">
      <c r="A2201" s="33">
        <v>135645.0</v>
      </c>
    </row>
    <row r="2202" ht="15.75" customHeight="1">
      <c r="A2202" s="33">
        <v>240603.0</v>
      </c>
    </row>
    <row r="2203" ht="15.75" customHeight="1">
      <c r="A2203" s="33">
        <v>240215.0</v>
      </c>
    </row>
    <row r="2204" ht="15.75" customHeight="1">
      <c r="A2204" s="33">
        <v>240471.0</v>
      </c>
    </row>
    <row r="2205" ht="15.75" customHeight="1">
      <c r="A2205" s="33">
        <v>139126.0</v>
      </c>
    </row>
    <row r="2206" ht="15.75" customHeight="1">
      <c r="A2206" s="33">
        <v>221441.0</v>
      </c>
    </row>
    <row r="2207" ht="15.75" customHeight="1">
      <c r="A2207" s="33">
        <v>99791.0</v>
      </c>
    </row>
    <row r="2208" ht="15.75" customHeight="1">
      <c r="A2208" s="33">
        <v>99813.0</v>
      </c>
    </row>
    <row r="2209" ht="15.75" customHeight="1">
      <c r="A2209" s="33">
        <v>206088.0</v>
      </c>
    </row>
    <row r="2210" ht="15.75" customHeight="1">
      <c r="A2210" s="33">
        <v>240472.0</v>
      </c>
    </row>
    <row r="2211" ht="15.75" customHeight="1">
      <c r="A2211" s="33">
        <v>240404.0</v>
      </c>
    </row>
    <row r="2212" ht="15.75" customHeight="1">
      <c r="A2212" s="33">
        <v>231253.0</v>
      </c>
    </row>
    <row r="2213" ht="15.75" customHeight="1">
      <c r="A2213" s="33">
        <v>212051.0</v>
      </c>
    </row>
    <row r="2214" ht="15.75" customHeight="1">
      <c r="A2214" s="33">
        <v>85910.0</v>
      </c>
    </row>
    <row r="2215" ht="15.75" customHeight="1">
      <c r="A2215" s="33">
        <v>110540.0</v>
      </c>
    </row>
    <row r="2216" ht="15.75" customHeight="1">
      <c r="A2216" s="33">
        <v>204426.0</v>
      </c>
    </row>
    <row r="2217" ht="15.75" customHeight="1">
      <c r="A2217" s="33">
        <v>220061.0</v>
      </c>
    </row>
    <row r="2218" ht="15.75" customHeight="1">
      <c r="A2218" s="33">
        <v>220062.0</v>
      </c>
    </row>
    <row r="2219" ht="15.75" customHeight="1">
      <c r="A2219" s="33">
        <v>220063.0</v>
      </c>
    </row>
    <row r="2220" ht="15.75" customHeight="1">
      <c r="A2220" s="33">
        <v>222719.0</v>
      </c>
    </row>
    <row r="2221" ht="15.75" customHeight="1">
      <c r="A2221" s="33">
        <v>240511.0</v>
      </c>
    </row>
    <row r="2222" ht="15.75" customHeight="1">
      <c r="A2222" s="33">
        <v>214400.0</v>
      </c>
    </row>
    <row r="2223" ht="15.75" customHeight="1">
      <c r="A2223" s="33">
        <v>225894.0</v>
      </c>
    </row>
    <row r="2224" ht="15.75" customHeight="1">
      <c r="A2224" s="33">
        <v>210393.0</v>
      </c>
    </row>
    <row r="2225" ht="15.75" customHeight="1">
      <c r="A2225" s="33">
        <v>213187.0</v>
      </c>
    </row>
    <row r="2226" ht="15.75" customHeight="1">
      <c r="A2226" s="33">
        <v>221005.0</v>
      </c>
    </row>
    <row r="2227" ht="15.75" customHeight="1">
      <c r="A2227" s="33">
        <v>224098.0</v>
      </c>
    </row>
    <row r="2228" ht="15.75" customHeight="1">
      <c r="A2228" s="33">
        <v>108480.0</v>
      </c>
    </row>
    <row r="2229" ht="15.75" customHeight="1">
      <c r="A2229" s="33">
        <v>111040.0</v>
      </c>
    </row>
    <row r="2230" ht="15.75" customHeight="1">
      <c r="A2230" s="33">
        <v>225602.0</v>
      </c>
    </row>
    <row r="2231" ht="15.75" customHeight="1">
      <c r="A2231" s="33">
        <v>238592.0</v>
      </c>
    </row>
    <row r="2232" ht="15.75" customHeight="1">
      <c r="A2232" s="33">
        <v>238603.0</v>
      </c>
    </row>
    <row r="2233" ht="15.75" customHeight="1">
      <c r="A2233" s="33">
        <v>55603.0</v>
      </c>
    </row>
    <row r="2234" ht="15.75" customHeight="1">
      <c r="A2234" s="33">
        <v>59625.0</v>
      </c>
    </row>
    <row r="2235" ht="15.75" customHeight="1">
      <c r="A2235" s="33">
        <v>207166.0</v>
      </c>
    </row>
    <row r="2236" ht="15.75" customHeight="1">
      <c r="A2236" s="33">
        <v>220066.0</v>
      </c>
    </row>
    <row r="2237" ht="15.75" customHeight="1">
      <c r="A2237" s="33">
        <v>221551.0</v>
      </c>
    </row>
    <row r="2238" ht="15.75" customHeight="1">
      <c r="A2238" s="33">
        <v>101583.0</v>
      </c>
    </row>
    <row r="2239" ht="15.75" customHeight="1">
      <c r="A2239" s="33">
        <v>109703.0</v>
      </c>
    </row>
    <row r="2240" ht="15.75" customHeight="1">
      <c r="A2240" s="33">
        <v>210647.0</v>
      </c>
    </row>
    <row r="2241" ht="15.75" customHeight="1">
      <c r="A2241" s="33">
        <v>215248.0</v>
      </c>
    </row>
    <row r="2242" ht="15.75" customHeight="1">
      <c r="A2242" s="33">
        <v>210672.0</v>
      </c>
    </row>
    <row r="2243" ht="15.75" customHeight="1">
      <c r="A2243" s="33">
        <v>211653.0</v>
      </c>
    </row>
    <row r="2244" ht="15.75" customHeight="1">
      <c r="A2244" s="33">
        <v>210731.0</v>
      </c>
    </row>
    <row r="2245" ht="15.75" customHeight="1">
      <c r="A2245" s="33">
        <v>122789.0</v>
      </c>
    </row>
    <row r="2246" ht="15.75" customHeight="1">
      <c r="A2246" s="33">
        <v>53821.0</v>
      </c>
    </row>
    <row r="2247" ht="15.75" customHeight="1">
      <c r="A2247" s="33">
        <v>53830.0</v>
      </c>
    </row>
    <row r="2248" ht="15.75" customHeight="1">
      <c r="A2248" s="33">
        <v>101516.0</v>
      </c>
    </row>
    <row r="2249" ht="15.75" customHeight="1">
      <c r="A2249" s="33">
        <v>109711.0</v>
      </c>
    </row>
    <row r="2250" ht="15.75" customHeight="1">
      <c r="A2250" s="33">
        <v>211171.0</v>
      </c>
    </row>
    <row r="2251" ht="15.75" customHeight="1">
      <c r="A2251" s="33">
        <v>240408.0</v>
      </c>
    </row>
    <row r="2252" ht="15.75" customHeight="1">
      <c r="A2252" s="33">
        <v>168917.0</v>
      </c>
    </row>
    <row r="2253" ht="15.75" customHeight="1">
      <c r="A2253" s="33">
        <v>240954.0</v>
      </c>
    </row>
    <row r="2254" ht="15.75" customHeight="1">
      <c r="A2254" s="33">
        <v>237267.0</v>
      </c>
    </row>
    <row r="2255" ht="15.75" customHeight="1">
      <c r="A2255" s="33">
        <v>144499.0</v>
      </c>
    </row>
    <row r="2256" ht="15.75" customHeight="1">
      <c r="A2256" s="33">
        <v>212989.0</v>
      </c>
    </row>
    <row r="2257" ht="15.75" customHeight="1">
      <c r="A2257" s="33">
        <v>214214.0</v>
      </c>
    </row>
    <row r="2258" ht="15.75" customHeight="1">
      <c r="A2258" s="33">
        <v>229279.0</v>
      </c>
    </row>
    <row r="2259" ht="15.75" customHeight="1">
      <c r="A2259" s="33">
        <v>236221.0</v>
      </c>
    </row>
    <row r="2260" ht="15.75" customHeight="1">
      <c r="A2260" s="33">
        <v>210206.0</v>
      </c>
    </row>
    <row r="2261" ht="15.75" customHeight="1">
      <c r="A2261" s="33">
        <v>236669.0</v>
      </c>
    </row>
    <row r="2262" ht="15.75" customHeight="1">
      <c r="A2262" s="33">
        <v>225237.0</v>
      </c>
    </row>
    <row r="2263" ht="15.75" customHeight="1">
      <c r="A2263" s="33">
        <v>113921.0</v>
      </c>
    </row>
    <row r="2264" ht="15.75" customHeight="1">
      <c r="A2264" s="33">
        <v>126489.0</v>
      </c>
    </row>
    <row r="2265" ht="15.75" customHeight="1">
      <c r="A2265" s="33">
        <v>201160.0</v>
      </c>
    </row>
    <row r="2266" ht="15.75" customHeight="1">
      <c r="A2266" s="33">
        <v>221394.0</v>
      </c>
    </row>
    <row r="2267" ht="15.75" customHeight="1">
      <c r="A2267" s="33">
        <v>221410.0</v>
      </c>
    </row>
    <row r="2268" ht="15.75" customHeight="1">
      <c r="A2268" s="33">
        <v>227760.0</v>
      </c>
    </row>
    <row r="2269" ht="15.75" customHeight="1">
      <c r="A2269" s="33">
        <v>113930.0</v>
      </c>
    </row>
    <row r="2270" ht="15.75" customHeight="1">
      <c r="A2270" s="33">
        <v>220059.0</v>
      </c>
    </row>
    <row r="2271" ht="15.75" customHeight="1">
      <c r="A2271" s="33">
        <v>169049.0</v>
      </c>
    </row>
    <row r="2272" ht="15.75" customHeight="1">
      <c r="A2272" s="33">
        <v>221379.0</v>
      </c>
    </row>
    <row r="2273" ht="15.75" customHeight="1">
      <c r="A2273" s="33">
        <v>221388.0</v>
      </c>
    </row>
    <row r="2274" ht="15.75" customHeight="1">
      <c r="A2274" s="33">
        <v>221389.0</v>
      </c>
    </row>
    <row r="2275" ht="15.75" customHeight="1">
      <c r="A2275" s="33">
        <v>221391.0</v>
      </c>
    </row>
    <row r="2276" ht="15.75" customHeight="1">
      <c r="A2276" s="33">
        <v>222180.0</v>
      </c>
    </row>
    <row r="2277" ht="15.75" customHeight="1">
      <c r="A2277" s="33">
        <v>222185.0</v>
      </c>
    </row>
    <row r="2278" ht="15.75" customHeight="1">
      <c r="A2278" s="33">
        <v>214204.0</v>
      </c>
    </row>
    <row r="2279" ht="15.75" customHeight="1">
      <c r="A2279" s="33">
        <v>240748.0</v>
      </c>
    </row>
    <row r="2280" ht="15.75" customHeight="1">
      <c r="A2280" s="33">
        <v>204742.0</v>
      </c>
    </row>
    <row r="2281" ht="15.75" customHeight="1">
      <c r="A2281" s="33">
        <v>101460.0</v>
      </c>
    </row>
    <row r="2282" ht="15.75" customHeight="1">
      <c r="A2282" s="33">
        <v>237266.0</v>
      </c>
    </row>
    <row r="2283" ht="15.75" customHeight="1">
      <c r="A2283" s="33">
        <v>213066.0</v>
      </c>
    </row>
    <row r="2284" ht="15.75" customHeight="1">
      <c r="A2284" s="33">
        <v>218504.0</v>
      </c>
    </row>
    <row r="2285" ht="15.75" customHeight="1">
      <c r="A2285" s="33">
        <v>240945.0</v>
      </c>
    </row>
    <row r="2286" ht="15.75" customHeight="1">
      <c r="A2286" s="33">
        <v>211677.0</v>
      </c>
    </row>
    <row r="2287" ht="15.75" customHeight="1">
      <c r="A2287" s="33">
        <v>211646.0</v>
      </c>
    </row>
    <row r="2288" ht="15.75" customHeight="1">
      <c r="A2288" s="33">
        <v>237259.0</v>
      </c>
    </row>
    <row r="2289" ht="15.75" customHeight="1">
      <c r="A2289" s="33">
        <v>85898.0</v>
      </c>
    </row>
    <row r="2290" ht="15.75" customHeight="1">
      <c r="A2290" s="33">
        <v>240874.0</v>
      </c>
    </row>
    <row r="2291" ht="15.75" customHeight="1">
      <c r="A2291" s="33">
        <v>210735.0</v>
      </c>
    </row>
    <row r="2292" ht="15.75" customHeight="1">
      <c r="A2292" s="33">
        <v>225524.0</v>
      </c>
    </row>
    <row r="2293" ht="15.75" customHeight="1">
      <c r="A2293" s="33">
        <v>152603.0</v>
      </c>
    </row>
    <row r="2294" ht="15.75" customHeight="1">
      <c r="A2294" s="33">
        <v>236672.0</v>
      </c>
    </row>
    <row r="2295" ht="15.75" customHeight="1">
      <c r="A2295" s="33">
        <v>236670.0</v>
      </c>
    </row>
    <row r="2296" ht="15.75" customHeight="1">
      <c r="A2296" s="33">
        <v>236673.0</v>
      </c>
    </row>
    <row r="2297" ht="15.75" customHeight="1">
      <c r="A2297" s="33">
        <v>85960.0</v>
      </c>
    </row>
    <row r="2298" ht="15.75" customHeight="1">
      <c r="A2298" s="33">
        <v>122705.0</v>
      </c>
    </row>
    <row r="2299" ht="15.75" customHeight="1">
      <c r="A2299" s="33">
        <v>124025.0</v>
      </c>
    </row>
    <row r="2300" ht="15.75" customHeight="1">
      <c r="A2300" s="33">
        <v>126490.0</v>
      </c>
    </row>
    <row r="2301" ht="15.75" customHeight="1">
      <c r="A2301" s="33">
        <v>203157.0</v>
      </c>
    </row>
    <row r="2302" ht="15.75" customHeight="1">
      <c r="A2302" s="33">
        <v>220060.0</v>
      </c>
    </row>
    <row r="2303" ht="15.75" customHeight="1">
      <c r="A2303" s="33">
        <v>194554.0</v>
      </c>
    </row>
    <row r="2304" ht="15.75" customHeight="1">
      <c r="A2304" s="33">
        <v>237778.0</v>
      </c>
    </row>
    <row r="2305" ht="15.75" customHeight="1">
      <c r="A2305" s="33">
        <v>210198.0</v>
      </c>
    </row>
    <row r="2306" ht="15.75" customHeight="1">
      <c r="A2306" s="33">
        <v>241161.0</v>
      </c>
    </row>
    <row r="2307" ht="15.75" customHeight="1">
      <c r="A2307" s="33">
        <v>230534.0</v>
      </c>
    </row>
    <row r="2308" ht="15.75" customHeight="1">
      <c r="A2308" s="33">
        <v>213001.0</v>
      </c>
    </row>
    <row r="2309" ht="15.75" customHeight="1">
      <c r="A2309" s="33">
        <v>240747.0</v>
      </c>
    </row>
    <row r="2310" ht="15.75" customHeight="1">
      <c r="A2310" s="33">
        <v>53392.0</v>
      </c>
    </row>
    <row r="2311" ht="15.75" customHeight="1">
      <c r="A2311" s="33">
        <v>209036.0</v>
      </c>
    </row>
    <row r="2312" ht="15.75" customHeight="1">
      <c r="A2312" s="33">
        <v>213056.0</v>
      </c>
    </row>
    <row r="2313" ht="15.75" customHeight="1">
      <c r="A2313" s="33">
        <v>240884.0</v>
      </c>
    </row>
    <row r="2314" ht="15.75" customHeight="1">
      <c r="A2314" s="33">
        <v>240959.0</v>
      </c>
    </row>
    <row r="2315" ht="15.75" customHeight="1">
      <c r="A2315" s="33">
        <v>128943.0</v>
      </c>
    </row>
    <row r="2316" ht="15.75" customHeight="1">
      <c r="A2316" s="33">
        <v>240896.0</v>
      </c>
    </row>
    <row r="2317" ht="15.75" customHeight="1">
      <c r="A2317" s="33">
        <v>240897.0</v>
      </c>
    </row>
    <row r="2318" ht="15.75" customHeight="1">
      <c r="A2318" s="33">
        <v>240898.0</v>
      </c>
    </row>
    <row r="2319" ht="15.75" customHeight="1">
      <c r="A2319" s="33">
        <v>215822.0</v>
      </c>
    </row>
    <row r="2320" ht="15.75" customHeight="1">
      <c r="A2320" s="33">
        <v>56294.0</v>
      </c>
    </row>
    <row r="2321" ht="15.75" customHeight="1">
      <c r="A2321" s="33">
        <v>213031.0</v>
      </c>
    </row>
    <row r="2322" ht="15.75" customHeight="1">
      <c r="A2322" s="33">
        <v>105899.0</v>
      </c>
    </row>
    <row r="2323" ht="15.75" customHeight="1">
      <c r="A2323" s="33">
        <v>240811.0</v>
      </c>
    </row>
    <row r="2324" ht="15.75" customHeight="1">
      <c r="A2324" s="33">
        <v>228148.0</v>
      </c>
    </row>
    <row r="2325" ht="15.75" customHeight="1">
      <c r="A2325" s="33">
        <v>207823.0</v>
      </c>
    </row>
    <row r="2326" ht="15.75" customHeight="1">
      <c r="A2326" s="33">
        <v>236667.0</v>
      </c>
    </row>
    <row r="2327" ht="15.75" customHeight="1">
      <c r="A2327" s="33">
        <v>85901.0</v>
      </c>
    </row>
    <row r="2328" ht="15.75" customHeight="1">
      <c r="A2328" s="33">
        <v>85952.0</v>
      </c>
    </row>
    <row r="2329" ht="15.75" customHeight="1">
      <c r="A2329" s="33">
        <v>110507.0</v>
      </c>
    </row>
    <row r="2330" ht="15.75" customHeight="1">
      <c r="A2330" s="33">
        <v>241278.0</v>
      </c>
    </row>
    <row r="2331" ht="15.75" customHeight="1">
      <c r="A2331" s="33">
        <v>228796.0</v>
      </c>
    </row>
    <row r="2332" ht="15.75" customHeight="1">
      <c r="A2332" s="33">
        <v>204423.0</v>
      </c>
    </row>
    <row r="2333" ht="15.75" customHeight="1">
      <c r="A2333" s="33">
        <v>204427.0</v>
      </c>
    </row>
    <row r="2334" ht="15.75" customHeight="1">
      <c r="A2334" s="33">
        <v>110523.0</v>
      </c>
    </row>
    <row r="2335" ht="15.75" customHeight="1">
      <c r="A2335" s="33">
        <v>110604.0</v>
      </c>
    </row>
    <row r="2336" ht="15.75" customHeight="1">
      <c r="A2336" s="33">
        <v>135025.0</v>
      </c>
    </row>
    <row r="2337" ht="15.75" customHeight="1">
      <c r="A2337" s="33">
        <v>210956.0</v>
      </c>
    </row>
    <row r="2338" ht="15.75" customHeight="1">
      <c r="A2338" s="33">
        <v>210759.0</v>
      </c>
    </row>
    <row r="2339" ht="15.75" customHeight="1">
      <c r="A2339" s="33">
        <v>220057.0</v>
      </c>
    </row>
    <row r="2340" ht="15.75" customHeight="1">
      <c r="A2340" s="33">
        <v>220058.0</v>
      </c>
    </row>
    <row r="2341" ht="15.75" customHeight="1">
      <c r="A2341" s="33">
        <v>220064.0</v>
      </c>
    </row>
    <row r="2342" ht="15.75" customHeight="1">
      <c r="A2342" s="33">
        <v>220065.0</v>
      </c>
    </row>
    <row r="2343" ht="15.75" customHeight="1">
      <c r="A2343" s="33">
        <v>241186.0</v>
      </c>
    </row>
    <row r="2344" ht="15.75" customHeight="1">
      <c r="A2344" s="33">
        <v>213895.0</v>
      </c>
    </row>
    <row r="2345" ht="15.75" customHeight="1">
      <c r="A2345" s="33">
        <v>210670.0</v>
      </c>
    </row>
    <row r="2346" ht="15.75" customHeight="1">
      <c r="A2346" s="33">
        <v>240732.0</v>
      </c>
    </row>
    <row r="2347" ht="15.75" customHeight="1">
      <c r="A2347" s="33">
        <v>169369.0</v>
      </c>
    </row>
    <row r="2348" ht="15.75" customHeight="1">
      <c r="A2348" s="33">
        <v>77607.0</v>
      </c>
    </row>
    <row r="2349" ht="15.75" customHeight="1">
      <c r="A2349" s="33">
        <v>223671.0</v>
      </c>
    </row>
    <row r="2350" ht="15.75" customHeight="1">
      <c r="A2350" s="33">
        <v>214526.0</v>
      </c>
    </row>
    <row r="2351" ht="15.75" customHeight="1">
      <c r="A2351" s="33">
        <v>225770.0</v>
      </c>
    </row>
    <row r="2352" ht="15.75" customHeight="1">
      <c r="A2352" s="33">
        <v>236665.0</v>
      </c>
    </row>
    <row r="2353" ht="15.75" customHeight="1">
      <c r="A2353" s="33">
        <v>237269.0</v>
      </c>
    </row>
    <row r="2354" ht="15.75" customHeight="1">
      <c r="A2354" s="33">
        <v>211098.0</v>
      </c>
    </row>
    <row r="2355" ht="15.75" customHeight="1">
      <c r="A2355" s="33">
        <v>211539.0</v>
      </c>
    </row>
    <row r="2356" ht="15.75" customHeight="1">
      <c r="A2356" s="33">
        <v>238314.0</v>
      </c>
    </row>
    <row r="2357" ht="15.75" customHeight="1">
      <c r="A2357" s="33">
        <v>236679.0</v>
      </c>
    </row>
    <row r="2358" ht="15.75" customHeight="1">
      <c r="A2358" s="33">
        <v>77631.0</v>
      </c>
    </row>
    <row r="2359" ht="15.75" customHeight="1">
      <c r="A2359" s="33">
        <v>131684.0</v>
      </c>
    </row>
    <row r="2360" ht="15.75" customHeight="1">
      <c r="A2360" s="33">
        <v>211174.0</v>
      </c>
    </row>
    <row r="2361" ht="15.75" customHeight="1">
      <c r="A2361" s="33">
        <v>207193.0</v>
      </c>
    </row>
    <row r="2362" ht="15.75" customHeight="1">
      <c r="A2362" s="33">
        <v>210760.0</v>
      </c>
    </row>
    <row r="2363" ht="15.75" customHeight="1">
      <c r="A2363" s="33">
        <v>238089.0</v>
      </c>
    </row>
    <row r="2364" ht="15.75" customHeight="1">
      <c r="A2364" s="33">
        <v>65870.0</v>
      </c>
    </row>
    <row r="2365" ht="15.75" customHeight="1">
      <c r="A2365" s="33">
        <v>241197.0</v>
      </c>
    </row>
    <row r="2366" ht="15.75" customHeight="1">
      <c r="A2366" s="33">
        <v>239842.0</v>
      </c>
    </row>
    <row r="2367" ht="15.75" customHeight="1">
      <c r="A2367" s="33">
        <v>223444.0</v>
      </c>
    </row>
    <row r="2368" ht="15.75" customHeight="1">
      <c r="A2368" s="33">
        <v>236664.0</v>
      </c>
    </row>
    <row r="2369" ht="15.75" customHeight="1">
      <c r="A2369" s="33">
        <v>36641.0</v>
      </c>
    </row>
    <row r="2370" ht="15.75" customHeight="1">
      <c r="A2370" s="33">
        <v>204716.0</v>
      </c>
    </row>
    <row r="2371" ht="15.75" customHeight="1">
      <c r="A2371" s="33">
        <v>239840.0</v>
      </c>
    </row>
    <row r="2372" ht="15.75" customHeight="1">
      <c r="A2372" s="33">
        <v>238311.0</v>
      </c>
    </row>
    <row r="2373" ht="15.75" customHeight="1">
      <c r="A2373" s="33">
        <v>237481.0</v>
      </c>
    </row>
    <row r="2374" ht="15.75" customHeight="1">
      <c r="A2374" s="33">
        <v>238316.0</v>
      </c>
    </row>
    <row r="2375" ht="15.75" customHeight="1">
      <c r="A2375" s="33">
        <v>37893.0</v>
      </c>
    </row>
    <row r="2376" ht="15.75" customHeight="1">
      <c r="A2376" s="33">
        <v>48720.0</v>
      </c>
    </row>
    <row r="2377" ht="15.75" customHeight="1">
      <c r="A2377" s="33">
        <v>118086.0</v>
      </c>
    </row>
    <row r="2378" ht="15.75" customHeight="1">
      <c r="A2378" s="33">
        <v>241149.0</v>
      </c>
    </row>
    <row r="2379" ht="15.75" customHeight="1">
      <c r="A2379" s="33">
        <v>237180.0</v>
      </c>
    </row>
    <row r="2380" ht="15.75" customHeight="1">
      <c r="A2380" s="33">
        <v>210669.0</v>
      </c>
    </row>
    <row r="2381" ht="15.75" customHeight="1">
      <c r="A2381" s="33">
        <v>109622.0</v>
      </c>
    </row>
    <row r="2382" ht="15.75" customHeight="1">
      <c r="A2382" s="33">
        <v>226150.0</v>
      </c>
    </row>
    <row r="2383" ht="15.75" customHeight="1">
      <c r="A2383" s="33">
        <v>236860.0</v>
      </c>
    </row>
    <row r="2384" ht="15.75" customHeight="1">
      <c r="A2384" s="33">
        <v>207932.0</v>
      </c>
    </row>
    <row r="2385" ht="15.75" customHeight="1">
      <c r="A2385" s="33">
        <v>171879.0</v>
      </c>
    </row>
    <row r="2386" ht="15.75" customHeight="1">
      <c r="A2386" s="33">
        <v>214617.0</v>
      </c>
    </row>
    <row r="2387" ht="15.75" customHeight="1">
      <c r="A2387" s="33">
        <v>213053.0</v>
      </c>
    </row>
    <row r="2388" ht="15.75" customHeight="1">
      <c r="A2388" s="33">
        <v>238174.0</v>
      </c>
    </row>
    <row r="2389" ht="15.75" customHeight="1">
      <c r="A2389" s="33">
        <v>211359.0</v>
      </c>
    </row>
    <row r="2390" ht="15.75" customHeight="1">
      <c r="A2390" s="33">
        <v>240140.0</v>
      </c>
    </row>
    <row r="2391" ht="15.75" customHeight="1">
      <c r="A2391" s="33">
        <v>222991.0</v>
      </c>
    </row>
    <row r="2392" ht="15.75" customHeight="1">
      <c r="A2392" s="33">
        <v>225627.0</v>
      </c>
    </row>
    <row r="2393" ht="15.75" customHeight="1">
      <c r="A2393" s="33">
        <v>211177.0</v>
      </c>
    </row>
    <row r="2394" ht="15.75" customHeight="1">
      <c r="A2394" s="33">
        <v>211184.0</v>
      </c>
    </row>
    <row r="2395" ht="15.75" customHeight="1">
      <c r="A2395" s="33">
        <v>240032.0</v>
      </c>
    </row>
    <row r="2396" ht="15.75" customHeight="1">
      <c r="A2396" s="33">
        <v>240035.0</v>
      </c>
    </row>
    <row r="2397" ht="15.75" customHeight="1">
      <c r="A2397" s="33">
        <v>240036.0</v>
      </c>
    </row>
    <row r="2398" ht="15.75" customHeight="1">
      <c r="A2398" s="33">
        <v>240289.0</v>
      </c>
    </row>
    <row r="2399" ht="15.75" customHeight="1">
      <c r="A2399" s="33">
        <v>240787.0</v>
      </c>
    </row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51.86"/>
    <col customWidth="1" min="5" max="9" width="8.71"/>
    <col customWidth="1" min="10" max="10" width="43.86"/>
  </cols>
  <sheetData>
    <row r="1">
      <c r="C1" s="47">
        <f>COUNTA(C3:C2424)</f>
        <v>2422</v>
      </c>
      <c r="J1" s="47">
        <f>COUNTA(J3:J2424)</f>
        <v>384</v>
      </c>
    </row>
    <row r="2">
      <c r="C2" s="47" t="s">
        <v>143</v>
      </c>
      <c r="J2" s="48" t="s">
        <v>8</v>
      </c>
    </row>
    <row r="3">
      <c r="C3" s="47">
        <v>223355.0</v>
      </c>
      <c r="D3" s="47" t="str">
        <f>VLOOKUP(C3,'Equalização'!E:J,6,0)</f>
        <v>#N/A</v>
      </c>
      <c r="J3" s="12" t="s">
        <v>144</v>
      </c>
    </row>
    <row r="4">
      <c r="C4" s="47">
        <v>225613.0</v>
      </c>
      <c r="D4" s="47" t="str">
        <f>VLOOKUP(C4,'Equalização'!E:J,6,0)</f>
        <v>#N/A</v>
      </c>
      <c r="J4" s="12" t="s">
        <v>145</v>
      </c>
    </row>
    <row r="5">
      <c r="C5" s="47">
        <v>219893.0</v>
      </c>
      <c r="D5" s="47" t="str">
        <f>VLOOKUP(C5,'Equalização'!E:J,6,0)</f>
        <v>#N/A</v>
      </c>
      <c r="J5" s="12" t="s">
        <v>99</v>
      </c>
    </row>
    <row r="6">
      <c r="C6" s="47">
        <v>207822.0</v>
      </c>
      <c r="D6" s="47" t="str">
        <f>VLOOKUP(C6,'Equalização'!E:J,6,0)</f>
        <v>#N/A</v>
      </c>
      <c r="J6" s="12" t="s">
        <v>103</v>
      </c>
    </row>
    <row r="7">
      <c r="C7" s="47">
        <v>222016.0</v>
      </c>
      <c r="D7" s="47" t="str">
        <f>VLOOKUP(C7,'Equalização'!E:J,6,0)</f>
        <v>#N/A</v>
      </c>
      <c r="J7" s="13" t="s">
        <v>104</v>
      </c>
    </row>
    <row r="8">
      <c r="C8" s="47">
        <v>225639.0</v>
      </c>
      <c r="D8" s="47" t="str">
        <f>VLOOKUP(C8,'Equalização'!E:J,6,0)</f>
        <v>#N/A</v>
      </c>
      <c r="J8" s="31" t="s">
        <v>146</v>
      </c>
    </row>
    <row r="9">
      <c r="C9" s="47">
        <v>209340.0</v>
      </c>
      <c r="D9" s="47" t="str">
        <f>VLOOKUP(C9,'Equalização'!E:J,6,0)</f>
        <v>BAYER S.A.</v>
      </c>
      <c r="J9" s="31" t="s">
        <v>147</v>
      </c>
    </row>
    <row r="10">
      <c r="C10" s="47">
        <v>210988.0</v>
      </c>
      <c r="D10" s="47" t="str">
        <f>VLOOKUP(C10,'Equalização'!E:J,6,0)</f>
        <v>#N/A</v>
      </c>
      <c r="J10" s="31" t="s">
        <v>148</v>
      </c>
    </row>
    <row r="11">
      <c r="C11" s="47">
        <v>207265.0</v>
      </c>
      <c r="D11" s="47" t="str">
        <f>VLOOKUP(C11,'Equalização'!E:J,6,0)</f>
        <v>#N/A</v>
      </c>
      <c r="J11" s="31" t="s">
        <v>149</v>
      </c>
    </row>
    <row r="12">
      <c r="C12" s="47">
        <v>211095.0</v>
      </c>
      <c r="D12" s="47" t="str">
        <f>VLOOKUP(C12,'Equalização'!E:J,6,0)</f>
        <v>#N/A</v>
      </c>
      <c r="J12" s="31" t="s">
        <v>150</v>
      </c>
    </row>
    <row r="13">
      <c r="C13" s="47">
        <v>211549.0</v>
      </c>
      <c r="D13" s="47" t="str">
        <f>VLOOKUP(C13,'Equalização'!E:J,6,0)</f>
        <v>#N/A</v>
      </c>
      <c r="J13" s="31" t="s">
        <v>151</v>
      </c>
    </row>
    <row r="14">
      <c r="C14" s="47">
        <v>225698.0</v>
      </c>
      <c r="D14" s="47" t="str">
        <f>VLOOKUP(C14,'Equalização'!E:J,6,0)</f>
        <v>BECTON DICKINSON IND CIRURG LTDA</v>
      </c>
      <c r="J14" s="31" t="s">
        <v>152</v>
      </c>
    </row>
    <row r="15">
      <c r="C15" s="47">
        <v>206005.0</v>
      </c>
      <c r="D15" s="47" t="str">
        <f>VLOOKUP(C15,'Equalização'!E:J,6,0)</f>
        <v>#N/A</v>
      </c>
      <c r="J15" s="31" t="s">
        <v>153</v>
      </c>
    </row>
    <row r="16">
      <c r="C16" s="47">
        <v>226214.0</v>
      </c>
      <c r="D16" s="47" t="str">
        <f>VLOOKUP(C16,'Equalização'!E:J,6,0)</f>
        <v>#N/A</v>
      </c>
      <c r="J16" s="31" t="s">
        <v>125</v>
      </c>
    </row>
    <row r="17">
      <c r="C17" s="47">
        <v>212235.0</v>
      </c>
      <c r="D17" s="47" t="str">
        <f>VLOOKUP(C17,'Equalização'!E:J,6,0)</f>
        <v>BECTON DICKINSON IND CIRURG LTDA</v>
      </c>
      <c r="J17" s="31" t="s">
        <v>154</v>
      </c>
    </row>
    <row r="18">
      <c r="C18" s="47">
        <v>206024.0</v>
      </c>
      <c r="D18" s="47" t="str">
        <f>VLOOKUP(C18,'Equalização'!E:J,6,0)</f>
        <v>#N/A</v>
      </c>
      <c r="J18" s="31" t="s">
        <v>129</v>
      </c>
    </row>
    <row r="19">
      <c r="C19" s="47">
        <v>150420.0</v>
      </c>
      <c r="D19" s="47" t="str">
        <f>VLOOKUP(C19,'Equalização'!E:J,6,0)</f>
        <v>BECTON DICKINSON IND CIRURG LTDA</v>
      </c>
      <c r="J19" s="31" t="s">
        <v>155</v>
      </c>
    </row>
    <row r="20">
      <c r="C20" s="47">
        <v>225882.0</v>
      </c>
      <c r="D20" s="47" t="str">
        <f>VLOOKUP(C20,'Equalização'!E:J,6,0)</f>
        <v>#N/A</v>
      </c>
      <c r="J20" s="31" t="s">
        <v>156</v>
      </c>
    </row>
    <row r="21" ht="15.75" customHeight="1">
      <c r="C21" s="47">
        <v>205939.0</v>
      </c>
      <c r="D21" s="47" t="str">
        <f>VLOOKUP(C21,'Equalização'!E:J,6,0)</f>
        <v>#N/A</v>
      </c>
      <c r="J21" s="31" t="s">
        <v>157</v>
      </c>
    </row>
    <row r="22" ht="15.75" customHeight="1">
      <c r="C22" s="47">
        <v>171430.0</v>
      </c>
      <c r="D22" s="47" t="str">
        <f>VLOOKUP(C22,'Equalização'!E:J,6,0)</f>
        <v>BECTON DICKINSON IND CIRURG LTDA</v>
      </c>
      <c r="J22" s="31" t="s">
        <v>158</v>
      </c>
    </row>
    <row r="23" ht="15.75" customHeight="1">
      <c r="C23" s="47">
        <v>225747.0</v>
      </c>
      <c r="D23" s="47" t="str">
        <f>VLOOKUP(C23,'Equalização'!E:J,6,0)</f>
        <v>#N/A</v>
      </c>
      <c r="J23" s="31" t="s">
        <v>159</v>
      </c>
    </row>
    <row r="24" ht="15.75" customHeight="1">
      <c r="C24" s="47">
        <v>158737.0</v>
      </c>
      <c r="D24" s="47" t="str">
        <f>VLOOKUP(C24,'Equalização'!E:J,6,0)</f>
        <v>#N/A</v>
      </c>
      <c r="J24" s="31" t="s">
        <v>132</v>
      </c>
    </row>
    <row r="25" ht="15.75" customHeight="1">
      <c r="C25" s="47">
        <v>211181.0</v>
      </c>
      <c r="D25" s="47" t="str">
        <f>VLOOKUP(C25,'Equalização'!E:J,6,0)</f>
        <v>BECTON DICKINSON IND CIRURG LTDA</v>
      </c>
      <c r="J25" s="31" t="s">
        <v>160</v>
      </c>
    </row>
    <row r="26" ht="15.75" customHeight="1">
      <c r="C26" s="47">
        <v>226185.0</v>
      </c>
      <c r="D26" s="47" t="str">
        <f>VLOOKUP(C26,'Equalização'!E:J,6,0)</f>
        <v>#N/A</v>
      </c>
      <c r="J26" s="31" t="s">
        <v>161</v>
      </c>
    </row>
    <row r="27" ht="15.75" customHeight="1">
      <c r="C27" s="47">
        <v>225946.0</v>
      </c>
      <c r="D27" s="47" t="str">
        <f>VLOOKUP(C27,'Equalização'!E:J,6,0)</f>
        <v>#N/A</v>
      </c>
      <c r="J27" s="31" t="s">
        <v>162</v>
      </c>
    </row>
    <row r="28" ht="15.75" customHeight="1">
      <c r="C28" s="47">
        <v>152794.0</v>
      </c>
      <c r="D28" s="47" t="str">
        <f>VLOOKUP(C28,'Equalização'!E:J,6,0)</f>
        <v>BECTON DICKINSON IND CIRURG LTDA</v>
      </c>
      <c r="J28" s="31" t="s">
        <v>163</v>
      </c>
    </row>
    <row r="29" ht="15.75" customHeight="1">
      <c r="C29" s="47">
        <v>205940.0</v>
      </c>
      <c r="D29" s="47" t="str">
        <f>VLOOKUP(C29,'Equalização'!E:J,6,0)</f>
        <v>#N/A</v>
      </c>
      <c r="J29" s="31" t="s">
        <v>164</v>
      </c>
    </row>
    <row r="30" ht="15.75" customHeight="1">
      <c r="C30" s="47">
        <v>197223.0</v>
      </c>
      <c r="D30" s="47" t="str">
        <f>VLOOKUP(C30,'Equalização'!E:J,6,0)</f>
        <v>BECTON DICKINSON INDUSTRIAS CIRURGI</v>
      </c>
      <c r="J30" s="31" t="s">
        <v>165</v>
      </c>
    </row>
    <row r="31" ht="15.75" customHeight="1">
      <c r="C31" s="47">
        <v>226276.0</v>
      </c>
      <c r="D31" s="47" t="str">
        <f>VLOOKUP(C31,'Equalização'!E:J,6,0)</f>
        <v>#N/A</v>
      </c>
      <c r="J31" s="31" t="s">
        <v>166</v>
      </c>
    </row>
    <row r="32" ht="15.75" customHeight="1">
      <c r="C32" s="47">
        <v>214033.0</v>
      </c>
      <c r="D32" s="47" t="str">
        <f>VLOOKUP(C32,'Equalização'!E:J,6,0)</f>
        <v>#N/A</v>
      </c>
      <c r="J32" s="31" t="s">
        <v>167</v>
      </c>
    </row>
    <row r="33" ht="15.75" customHeight="1">
      <c r="C33" s="47">
        <v>152988.0</v>
      </c>
      <c r="D33" s="47" t="str">
        <f>VLOOKUP(C33,'Equalização'!E:J,6,0)</f>
        <v>#N/A</v>
      </c>
      <c r="J33" s="31" t="s">
        <v>139</v>
      </c>
    </row>
    <row r="34" ht="15.75" customHeight="1">
      <c r="C34" s="47">
        <v>226313.0</v>
      </c>
      <c r="D34" s="47" t="str">
        <f>VLOOKUP(C34,'Equalização'!E:J,6,0)</f>
        <v>#N/A</v>
      </c>
      <c r="J34" s="31" t="s">
        <v>168</v>
      </c>
    </row>
    <row r="35" ht="15.75" customHeight="1">
      <c r="C35" s="47">
        <v>210945.0</v>
      </c>
      <c r="D35" s="47" t="str">
        <f>VLOOKUP(C35,'Equalização'!E:J,6,0)</f>
        <v>#N/A</v>
      </c>
      <c r="J35" s="31" t="s">
        <v>169</v>
      </c>
    </row>
    <row r="36" ht="15.75" customHeight="1">
      <c r="C36" s="47">
        <v>225620.0</v>
      </c>
      <c r="D36" s="47" t="str">
        <f>VLOOKUP(C36,'Equalização'!E:J,6,0)</f>
        <v>#N/A</v>
      </c>
      <c r="J36" s="31" t="s">
        <v>170</v>
      </c>
    </row>
    <row r="37" ht="15.75" customHeight="1">
      <c r="C37" s="47">
        <v>226340.0</v>
      </c>
      <c r="D37" s="47" t="str">
        <f>VLOOKUP(C37,'Equalização'!E:J,6,0)</f>
        <v>#N/A</v>
      </c>
      <c r="J37" s="31" t="s">
        <v>171</v>
      </c>
    </row>
    <row r="38" ht="15.75" customHeight="1">
      <c r="C38" s="47">
        <v>211451.0</v>
      </c>
      <c r="D38" s="47" t="str">
        <f>VLOOKUP(C38,'Equalização'!E:J,6,0)</f>
        <v>#N/A</v>
      </c>
      <c r="J38" s="31" t="s">
        <v>172</v>
      </c>
    </row>
    <row r="39" ht="15.75" customHeight="1">
      <c r="C39" s="47">
        <v>205938.0</v>
      </c>
      <c r="D39" s="47" t="str">
        <f>VLOOKUP(C39,'Equalização'!E:J,6,0)</f>
        <v>#N/A</v>
      </c>
      <c r="J39" s="31" t="s">
        <v>173</v>
      </c>
    </row>
    <row r="40" ht="15.75" customHeight="1">
      <c r="C40" s="47">
        <v>223358.0</v>
      </c>
      <c r="D40" s="47" t="str">
        <f>VLOOKUP(C40,'Equalização'!E:J,6,0)</f>
        <v>#N/A</v>
      </c>
      <c r="J40" s="31" t="s">
        <v>174</v>
      </c>
    </row>
    <row r="41" ht="15.75" customHeight="1">
      <c r="C41" s="47">
        <v>207195.0</v>
      </c>
      <c r="D41" s="47" t="str">
        <f>VLOOKUP(C41,'Equalização'!E:J,6,0)</f>
        <v>#N/A</v>
      </c>
      <c r="J41" s="31" t="s">
        <v>175</v>
      </c>
    </row>
    <row r="42" ht="15.75" customHeight="1">
      <c r="C42" s="47">
        <v>207755.0</v>
      </c>
      <c r="D42" s="47" t="str">
        <f>VLOOKUP(C42,'Equalização'!E:J,6,0)</f>
        <v>#N/A</v>
      </c>
      <c r="J42" s="31" t="s">
        <v>176</v>
      </c>
    </row>
    <row r="43" ht="15.75" customHeight="1">
      <c r="C43" s="47">
        <v>213701.0</v>
      </c>
      <c r="D43" s="47" t="str">
        <f>VLOOKUP(C43,'Equalização'!E:J,6,0)</f>
        <v>#N/A</v>
      </c>
      <c r="J43" s="31" t="s">
        <v>177</v>
      </c>
    </row>
    <row r="44" ht="15.75" customHeight="1">
      <c r="C44" s="47">
        <v>214045.0</v>
      </c>
      <c r="D44" s="47" t="str">
        <f>VLOOKUP(C44,'Equalização'!E:J,6,0)</f>
        <v>#N/A</v>
      </c>
      <c r="J44" s="31" t="s">
        <v>178</v>
      </c>
    </row>
    <row r="45" ht="15.75" customHeight="1">
      <c r="C45" s="47">
        <v>225642.0</v>
      </c>
      <c r="D45" s="47" t="str">
        <f>VLOOKUP(C45,'Equalização'!E:J,6,0)</f>
        <v>#N/A</v>
      </c>
      <c r="J45" s="31" t="s">
        <v>179</v>
      </c>
    </row>
    <row r="46" ht="15.75" customHeight="1">
      <c r="C46" s="47">
        <v>226334.0</v>
      </c>
      <c r="D46" s="47" t="str">
        <f>VLOOKUP(C46,'Equalização'!E:J,6,0)</f>
        <v>#N/A</v>
      </c>
      <c r="J46" s="31" t="s">
        <v>180</v>
      </c>
    </row>
    <row r="47" ht="15.75" customHeight="1">
      <c r="C47" s="47">
        <v>206068.0</v>
      </c>
      <c r="D47" s="47" t="str">
        <f>VLOOKUP(C47,'Equalização'!E:J,6,0)</f>
        <v>#N/A</v>
      </c>
      <c r="J47" s="31" t="s">
        <v>181</v>
      </c>
    </row>
    <row r="48" ht="15.75" customHeight="1">
      <c r="C48" s="47">
        <v>205924.0</v>
      </c>
      <c r="D48" s="47" t="str">
        <f>VLOOKUP(C48,'Equalização'!E:J,6,0)</f>
        <v>#N/A</v>
      </c>
      <c r="J48" s="31" t="s">
        <v>182</v>
      </c>
    </row>
    <row r="49" ht="15.75" customHeight="1">
      <c r="C49" s="47">
        <v>158738.0</v>
      </c>
      <c r="D49" s="47" t="str">
        <f>VLOOKUP(C49,'Equalização'!E:J,6,0)</f>
        <v>#N/A</v>
      </c>
      <c r="J49" s="31" t="s">
        <v>183</v>
      </c>
    </row>
    <row r="50" ht="15.75" customHeight="1">
      <c r="C50" s="47">
        <v>225615.0</v>
      </c>
      <c r="D50" s="47" t="str">
        <f>VLOOKUP(C50,'Equalização'!E:J,6,0)</f>
        <v>#N/A</v>
      </c>
      <c r="J50" s="31" t="s">
        <v>184</v>
      </c>
    </row>
    <row r="51" ht="15.75" customHeight="1">
      <c r="C51" s="47">
        <v>39535.0</v>
      </c>
      <c r="D51" s="47" t="str">
        <f>VLOOKUP(C51,'Equalização'!E:J,6,0)</f>
        <v>#N/A</v>
      </c>
      <c r="J51" s="31" t="s">
        <v>185</v>
      </c>
    </row>
    <row r="52" ht="15.75" customHeight="1">
      <c r="C52" s="47">
        <v>207749.0</v>
      </c>
      <c r="D52" s="47" t="str">
        <f>VLOOKUP(C52,'Equalização'!E:J,6,0)</f>
        <v>#N/A</v>
      </c>
      <c r="J52" s="31" t="s">
        <v>186</v>
      </c>
    </row>
    <row r="53" ht="15.75" customHeight="1">
      <c r="C53" s="47">
        <v>204761.0</v>
      </c>
      <c r="D53" s="47" t="str">
        <f>VLOOKUP(C53,'Equalização'!E:J,6,0)</f>
        <v>#N/A</v>
      </c>
      <c r="J53" s="31" t="s">
        <v>187</v>
      </c>
    </row>
    <row r="54" ht="15.75" customHeight="1">
      <c r="C54" s="47">
        <v>226232.0</v>
      </c>
      <c r="D54" s="47" t="str">
        <f>VLOOKUP(C54,'Equalização'!E:J,6,0)</f>
        <v>#N/A</v>
      </c>
      <c r="J54" s="31" t="s">
        <v>188</v>
      </c>
    </row>
    <row r="55" ht="15.75" customHeight="1">
      <c r="C55" s="47">
        <v>230872.0</v>
      </c>
      <c r="D55" s="47" t="str">
        <f>VLOOKUP(C55,'Equalização'!E:J,6,0)</f>
        <v>#N/A</v>
      </c>
      <c r="J55" s="31" t="s">
        <v>189</v>
      </c>
    </row>
    <row r="56" ht="15.75" customHeight="1">
      <c r="C56" s="47">
        <v>223370.0</v>
      </c>
      <c r="D56" s="47" t="str">
        <f>VLOOKUP(C56,'Equalização'!E:J,6,0)</f>
        <v>#N/A</v>
      </c>
      <c r="J56" s="31" t="s">
        <v>190</v>
      </c>
    </row>
    <row r="57" ht="15.75" customHeight="1">
      <c r="C57" s="47">
        <v>204646.0</v>
      </c>
      <c r="D57" s="47" t="str">
        <f>VLOOKUP(C57,'Equalização'!E:J,6,0)</f>
        <v>#N/A</v>
      </c>
      <c r="J57" s="31" t="s">
        <v>191</v>
      </c>
    </row>
    <row r="58" ht="15.75" customHeight="1">
      <c r="C58" s="47">
        <v>225908.0</v>
      </c>
      <c r="D58" s="47" t="str">
        <f>VLOOKUP(C58,'Equalização'!E:J,6,0)</f>
        <v>#N/A</v>
      </c>
      <c r="J58" s="31" t="s">
        <v>192</v>
      </c>
    </row>
    <row r="59" ht="15.75" customHeight="1">
      <c r="C59" s="47">
        <v>225977.0</v>
      </c>
      <c r="D59" s="47" t="str">
        <f>VLOOKUP(C59,'Equalização'!E:J,6,0)</f>
        <v>#N/A</v>
      </c>
      <c r="J59" s="31" t="s">
        <v>193</v>
      </c>
    </row>
    <row r="60" ht="15.75" customHeight="1">
      <c r="C60" s="47">
        <v>222965.0</v>
      </c>
      <c r="D60" s="47" t="str">
        <f>VLOOKUP(C60,'Equalização'!E:J,6,0)</f>
        <v>#N/A</v>
      </c>
      <c r="J60" s="31" t="s">
        <v>194</v>
      </c>
    </row>
    <row r="61" ht="15.75" customHeight="1">
      <c r="C61" s="47">
        <v>206376.0</v>
      </c>
      <c r="D61" s="47" t="str">
        <f>VLOOKUP(C61,'Equalização'!E:J,6,0)</f>
        <v>#N/A</v>
      </c>
      <c r="J61" s="31" t="s">
        <v>195</v>
      </c>
    </row>
    <row r="62" ht="15.75" customHeight="1">
      <c r="C62" s="47">
        <v>205922.0</v>
      </c>
      <c r="D62" s="47" t="str">
        <f>VLOOKUP(C62,'Equalização'!E:J,6,0)</f>
        <v>#N/A</v>
      </c>
      <c r="J62" s="31" t="s">
        <v>196</v>
      </c>
    </row>
    <row r="63" ht="15.75" customHeight="1">
      <c r="C63" s="47">
        <v>206023.0</v>
      </c>
      <c r="D63" s="47" t="str">
        <f>VLOOKUP(C63,'Equalização'!E:J,6,0)</f>
        <v>#N/A</v>
      </c>
      <c r="J63" s="31" t="s">
        <v>197</v>
      </c>
    </row>
    <row r="64" ht="15.75" customHeight="1">
      <c r="C64" s="47">
        <v>225651.0</v>
      </c>
      <c r="D64" s="47" t="str">
        <f>VLOOKUP(C64,'Equalização'!E:J,6,0)</f>
        <v>#N/A</v>
      </c>
      <c r="J64" s="31" t="s">
        <v>198</v>
      </c>
    </row>
    <row r="65" ht="15.75" customHeight="1">
      <c r="C65" s="47">
        <v>225621.0</v>
      </c>
      <c r="D65" s="47" t="str">
        <f>VLOOKUP(C65,'Equalização'!E:J,6,0)</f>
        <v>#N/A</v>
      </c>
      <c r="J65" s="31" t="s">
        <v>199</v>
      </c>
    </row>
    <row r="66" ht="15.75" customHeight="1">
      <c r="C66" s="47">
        <v>225614.0</v>
      </c>
      <c r="D66" s="47" t="str">
        <f>VLOOKUP(C66,'Equalização'!E:J,6,0)</f>
        <v>#N/A</v>
      </c>
      <c r="J66" s="31" t="s">
        <v>200</v>
      </c>
    </row>
    <row r="67" ht="15.75" customHeight="1">
      <c r="C67" s="47">
        <v>206087.0</v>
      </c>
      <c r="D67" s="47" t="str">
        <f>VLOOKUP(C67,'Equalização'!E:J,6,0)</f>
        <v>#N/A</v>
      </c>
      <c r="J67" s="31" t="s">
        <v>201</v>
      </c>
    </row>
    <row r="68" ht="15.75" customHeight="1">
      <c r="C68" s="47">
        <v>225666.0</v>
      </c>
      <c r="D68" s="47" t="str">
        <f>VLOOKUP(C68,'Equalização'!E:J,6,0)</f>
        <v>#N/A</v>
      </c>
      <c r="J68" s="31" t="s">
        <v>202</v>
      </c>
    </row>
    <row r="69" ht="15.75" customHeight="1">
      <c r="C69" s="47">
        <v>204751.0</v>
      </c>
      <c r="D69" s="47" t="str">
        <f>VLOOKUP(C69,'Equalização'!E:J,6,0)</f>
        <v>#N/A</v>
      </c>
      <c r="J69" s="31" t="s">
        <v>203</v>
      </c>
    </row>
    <row r="70" ht="15.75" customHeight="1">
      <c r="C70" s="47">
        <v>212236.0</v>
      </c>
      <c r="D70" s="47" t="str">
        <f>VLOOKUP(C70,'Equalização'!E:J,6,0)</f>
        <v>BECTON DICKINSON IND CIRURG LTDA</v>
      </c>
      <c r="J70" s="31" t="s">
        <v>204</v>
      </c>
    </row>
    <row r="71" ht="15.75" customHeight="1">
      <c r="C71" s="47">
        <v>225647.0</v>
      </c>
      <c r="D71" s="47" t="str">
        <f>VLOOKUP(C71,'Equalização'!E:J,6,0)</f>
        <v>#N/A</v>
      </c>
      <c r="J71" s="31" t="s">
        <v>205</v>
      </c>
    </row>
    <row r="72" ht="15.75" customHeight="1">
      <c r="C72" s="47">
        <v>208017.0</v>
      </c>
      <c r="D72" s="47" t="str">
        <f>VLOOKUP(C72,'Equalização'!E:J,6,0)</f>
        <v>#N/A</v>
      </c>
      <c r="J72" s="31" t="s">
        <v>206</v>
      </c>
    </row>
    <row r="73" ht="15.75" customHeight="1">
      <c r="C73" s="47">
        <v>204748.0</v>
      </c>
      <c r="D73" s="47" t="str">
        <f>VLOOKUP(C73,'Equalização'!E:J,6,0)</f>
        <v>#N/A</v>
      </c>
      <c r="J73" s="31" t="s">
        <v>207</v>
      </c>
    </row>
    <row r="74" ht="15.75" customHeight="1">
      <c r="C74" s="47">
        <v>154203.0</v>
      </c>
      <c r="D74" s="47" t="str">
        <f>VLOOKUP(C74,'Equalização'!E:J,6,0)</f>
        <v>#N/A</v>
      </c>
      <c r="J74" s="31" t="s">
        <v>208</v>
      </c>
    </row>
    <row r="75" ht="15.75" customHeight="1">
      <c r="C75" s="47">
        <v>213624.0</v>
      </c>
      <c r="D75" s="47" t="str">
        <f>VLOOKUP(C75,'Equalização'!E:J,6,0)</f>
        <v>SARSTEDT LTDA</v>
      </c>
      <c r="J75" s="31" t="s">
        <v>209</v>
      </c>
    </row>
    <row r="76" ht="15.75" customHeight="1">
      <c r="C76" s="47">
        <v>207824.0</v>
      </c>
      <c r="D76" s="47" t="str">
        <f>VLOOKUP(C76,'Equalização'!E:J,6,0)</f>
        <v>#N/A</v>
      </c>
      <c r="J76" s="31" t="s">
        <v>210</v>
      </c>
    </row>
    <row r="77" ht="15.75" customHeight="1">
      <c r="C77" s="47">
        <v>175694.0</v>
      </c>
      <c r="D77" s="47" t="str">
        <f>VLOOKUP(C77,'Equalização'!E:J,6,0)</f>
        <v>#N/A</v>
      </c>
      <c r="J77" s="31" t="s">
        <v>211</v>
      </c>
    </row>
    <row r="78" ht="15.75" customHeight="1">
      <c r="C78" s="47">
        <v>208013.0</v>
      </c>
      <c r="D78" s="47" t="str">
        <f>VLOOKUP(C78,'Equalização'!E:J,6,0)</f>
        <v>#N/A</v>
      </c>
      <c r="J78" s="31" t="s">
        <v>212</v>
      </c>
    </row>
    <row r="79" ht="15.75" customHeight="1">
      <c r="C79" s="47">
        <v>225652.0</v>
      </c>
      <c r="D79" s="47" t="str">
        <f>VLOOKUP(C79,'Equalização'!E:J,6,0)</f>
        <v>#N/A</v>
      </c>
      <c r="J79" s="31" t="s">
        <v>213</v>
      </c>
    </row>
    <row r="80" ht="15.75" customHeight="1">
      <c r="C80" s="47">
        <v>225491.0</v>
      </c>
      <c r="D80" s="47" t="str">
        <f>VLOOKUP(C80,'Equalização'!E:J,6,0)</f>
        <v>#N/A</v>
      </c>
      <c r="J80" s="31" t="s">
        <v>214</v>
      </c>
    </row>
    <row r="81" ht="15.75" customHeight="1">
      <c r="C81" s="47">
        <v>226183.0</v>
      </c>
      <c r="D81" s="47" t="str">
        <f>VLOOKUP(C81,'Equalização'!E:J,6,0)</f>
        <v>#N/A</v>
      </c>
      <c r="J81" s="31" t="s">
        <v>215</v>
      </c>
    </row>
    <row r="82" ht="15.75" customHeight="1">
      <c r="C82" s="47">
        <v>152990.0</v>
      </c>
      <c r="D82" s="47" t="str">
        <f>VLOOKUP(C82,'Equalização'!E:J,6,0)</f>
        <v>#N/A</v>
      </c>
      <c r="J82" s="31" t="s">
        <v>216</v>
      </c>
    </row>
    <row r="83" ht="15.75" customHeight="1">
      <c r="C83" s="47">
        <v>225668.0</v>
      </c>
      <c r="D83" s="47" t="str">
        <f>VLOOKUP(C83,'Equalização'!E:J,6,0)</f>
        <v>#N/A</v>
      </c>
      <c r="J83" s="31" t="s">
        <v>217</v>
      </c>
    </row>
    <row r="84" ht="15.75" customHeight="1">
      <c r="C84" s="47">
        <v>225719.0</v>
      </c>
      <c r="D84" s="47" t="str">
        <f>VLOOKUP(C84,'Equalização'!E:J,6,0)</f>
        <v>#N/A</v>
      </c>
      <c r="J84" s="31" t="s">
        <v>218</v>
      </c>
    </row>
    <row r="85" ht="15.75" customHeight="1">
      <c r="C85" s="47">
        <v>206069.0</v>
      </c>
      <c r="D85" s="47" t="str">
        <f>VLOOKUP(C85,'Equalização'!E:J,6,0)</f>
        <v>#N/A</v>
      </c>
      <c r="J85" s="31" t="s">
        <v>219</v>
      </c>
    </row>
    <row r="86" ht="15.75" customHeight="1">
      <c r="C86" s="47">
        <v>206026.0</v>
      </c>
      <c r="D86" s="47" t="str">
        <f>VLOOKUP(C86,'Equalização'!E:J,6,0)</f>
        <v>#N/A</v>
      </c>
      <c r="J86" s="31" t="s">
        <v>220</v>
      </c>
    </row>
    <row r="87" ht="15.75" customHeight="1">
      <c r="C87" s="47">
        <v>152989.0</v>
      </c>
      <c r="D87" s="47" t="str">
        <f>VLOOKUP(C87,'Equalização'!E:J,6,0)</f>
        <v>#N/A</v>
      </c>
      <c r="J87" s="31" t="s">
        <v>221</v>
      </c>
    </row>
    <row r="88" ht="15.75" customHeight="1">
      <c r="C88" s="47">
        <v>225636.0</v>
      </c>
      <c r="D88" s="47" t="str">
        <f>VLOOKUP(C88,'Equalização'!E:J,6,0)</f>
        <v>#N/A</v>
      </c>
      <c r="J88" s="31" t="s">
        <v>222</v>
      </c>
    </row>
    <row r="89" ht="15.75" customHeight="1">
      <c r="C89" s="47">
        <v>168728.0</v>
      </c>
      <c r="D89" s="47" t="str">
        <f>VLOOKUP(C89,'Equalização'!E:J,6,0)</f>
        <v>#N/A</v>
      </c>
      <c r="J89" s="31" t="s">
        <v>223</v>
      </c>
    </row>
    <row r="90" ht="15.75" customHeight="1">
      <c r="C90" s="47">
        <v>211665.0</v>
      </c>
      <c r="D90" s="47" t="str">
        <f>VLOOKUP(C90,'Equalização'!E:J,6,0)</f>
        <v>#N/A</v>
      </c>
      <c r="J90" s="31" t="s">
        <v>224</v>
      </c>
    </row>
    <row r="91" ht="15.75" customHeight="1">
      <c r="C91" s="47">
        <v>214206.0</v>
      </c>
      <c r="D91" s="47" t="str">
        <f>VLOOKUP(C91,'Equalização'!E:J,6,0)</f>
        <v>#N/A</v>
      </c>
      <c r="J91" s="31" t="s">
        <v>225</v>
      </c>
    </row>
    <row r="92" ht="15.75" customHeight="1">
      <c r="C92" s="47">
        <v>239149.0</v>
      </c>
      <c r="D92" s="47" t="str">
        <f>VLOOKUP(C92,'Equalização'!E:J,6,0)</f>
        <v>#N/A</v>
      </c>
      <c r="J92" s="31" t="s">
        <v>226</v>
      </c>
    </row>
    <row r="93" ht="15.75" customHeight="1">
      <c r="C93" s="47">
        <v>225574.0</v>
      </c>
      <c r="D93" s="47" t="str">
        <f>VLOOKUP(C93,'Equalização'!E:J,6,0)</f>
        <v>#N/A</v>
      </c>
      <c r="J93" s="31" t="s">
        <v>227</v>
      </c>
    </row>
    <row r="94" ht="15.75" customHeight="1">
      <c r="C94" s="47">
        <v>118420.0</v>
      </c>
      <c r="D94" s="47" t="str">
        <f>VLOOKUP(C94,'Equalização'!E:J,6,0)</f>
        <v>#N/A</v>
      </c>
      <c r="J94" s="31" t="s">
        <v>228</v>
      </c>
    </row>
    <row r="95" ht="15.75" customHeight="1">
      <c r="C95" s="47">
        <v>221438.0</v>
      </c>
      <c r="D95" s="47" t="str">
        <f>VLOOKUP(C95,'Equalização'!E:J,6,0)</f>
        <v>#N/A</v>
      </c>
      <c r="J95" s="31" t="s">
        <v>229</v>
      </c>
    </row>
    <row r="96" ht="15.75" customHeight="1">
      <c r="C96" s="47">
        <v>225893.0</v>
      </c>
      <c r="D96" s="47" t="str">
        <f>VLOOKUP(C96,'Equalização'!E:J,6,0)</f>
        <v>#N/A</v>
      </c>
      <c r="J96" s="31" t="s">
        <v>230</v>
      </c>
    </row>
    <row r="97" ht="15.75" customHeight="1">
      <c r="C97" s="47">
        <v>206067.0</v>
      </c>
      <c r="D97" s="47" t="str">
        <f>VLOOKUP(C97,'Equalização'!E:J,6,0)</f>
        <v>#N/A</v>
      </c>
      <c r="J97" s="31" t="s">
        <v>231</v>
      </c>
    </row>
    <row r="98" ht="15.75" customHeight="1">
      <c r="C98" s="47">
        <v>223360.0</v>
      </c>
      <c r="D98" s="47" t="str">
        <f>VLOOKUP(C98,'Equalização'!E:J,6,0)</f>
        <v>#N/A</v>
      </c>
      <c r="J98" s="31" t="s">
        <v>232</v>
      </c>
    </row>
    <row r="99" ht="15.75" customHeight="1">
      <c r="C99" s="47">
        <v>207752.0</v>
      </c>
      <c r="D99" s="47" t="str">
        <f>VLOOKUP(C99,'Equalização'!E:J,6,0)</f>
        <v>#N/A</v>
      </c>
      <c r="J99" s="31" t="s">
        <v>233</v>
      </c>
    </row>
    <row r="100" ht="15.75" customHeight="1">
      <c r="C100" s="47">
        <v>227916.0</v>
      </c>
      <c r="D100" s="47" t="str">
        <f>VLOOKUP(C100,'Equalização'!E:J,6,0)</f>
        <v>#N/A</v>
      </c>
      <c r="J100" s="31" t="s">
        <v>234</v>
      </c>
    </row>
    <row r="101" ht="15.75" customHeight="1">
      <c r="C101" s="47">
        <v>225619.0</v>
      </c>
      <c r="D101" s="47" t="str">
        <f>VLOOKUP(C101,'Equalização'!E:J,6,0)</f>
        <v>#N/A</v>
      </c>
      <c r="J101" s="31" t="s">
        <v>235</v>
      </c>
    </row>
    <row r="102" ht="15.75" customHeight="1">
      <c r="C102" s="47">
        <v>207844.0</v>
      </c>
      <c r="D102" s="47" t="str">
        <f>VLOOKUP(C102,'Equalização'!E:J,6,0)</f>
        <v>#N/A</v>
      </c>
      <c r="J102" s="31" t="s">
        <v>236</v>
      </c>
    </row>
    <row r="103" ht="15.75" customHeight="1">
      <c r="C103" s="47">
        <v>225641.0</v>
      </c>
      <c r="D103" s="47" t="str">
        <f>VLOOKUP(C103,'Equalização'!E:J,6,0)</f>
        <v>#N/A</v>
      </c>
      <c r="J103" s="31" t="s">
        <v>237</v>
      </c>
    </row>
    <row r="104" ht="15.75" customHeight="1">
      <c r="C104" s="47">
        <v>225667.0</v>
      </c>
      <c r="D104" s="47" t="str">
        <f>VLOOKUP(C104,'Equalização'!E:J,6,0)</f>
        <v>#N/A</v>
      </c>
      <c r="J104" s="31" t="s">
        <v>238</v>
      </c>
    </row>
    <row r="105" ht="15.75" customHeight="1">
      <c r="C105" s="47">
        <v>208021.0</v>
      </c>
      <c r="D105" s="47" t="str">
        <f>VLOOKUP(C105,'Equalização'!E:J,6,0)</f>
        <v>#N/A</v>
      </c>
      <c r="J105" s="31" t="s">
        <v>239</v>
      </c>
    </row>
    <row r="106" ht="15.75" customHeight="1">
      <c r="C106" s="47">
        <v>211616.0</v>
      </c>
      <c r="D106" s="47" t="str">
        <f>VLOOKUP(C106,'Equalização'!E:J,6,0)</f>
        <v>#N/A</v>
      </c>
      <c r="J106" s="31" t="s">
        <v>240</v>
      </c>
    </row>
    <row r="107" ht="15.75" customHeight="1">
      <c r="C107" s="47">
        <v>212104.0</v>
      </c>
      <c r="D107" s="47" t="str">
        <f>VLOOKUP(C107,'Equalização'!E:J,6,0)</f>
        <v>#N/A</v>
      </c>
      <c r="J107" s="31" t="s">
        <v>241</v>
      </c>
    </row>
    <row r="108" ht="15.75" customHeight="1">
      <c r="C108" s="47">
        <v>154194.0</v>
      </c>
      <c r="D108" s="47" t="str">
        <f>VLOOKUP(C108,'Equalização'!E:J,6,0)</f>
        <v>#N/A</v>
      </c>
      <c r="J108" s="31" t="s">
        <v>242</v>
      </c>
    </row>
    <row r="109" ht="15.75" customHeight="1">
      <c r="C109" s="47">
        <v>220784.0</v>
      </c>
      <c r="D109" s="47" t="str">
        <f>VLOOKUP(C109,'Equalização'!E:J,6,0)</f>
        <v>#N/A</v>
      </c>
      <c r="J109" s="31" t="s">
        <v>243</v>
      </c>
    </row>
    <row r="110" ht="15.75" customHeight="1">
      <c r="C110" s="47">
        <v>206378.0</v>
      </c>
      <c r="D110" s="47" t="str">
        <f>VLOOKUP(C110,'Equalização'!E:J,6,0)</f>
        <v>#N/A</v>
      </c>
      <c r="J110" s="31" t="s">
        <v>244</v>
      </c>
    </row>
    <row r="111" ht="15.75" customHeight="1">
      <c r="C111" s="47">
        <v>226208.0</v>
      </c>
      <c r="D111" s="47" t="str">
        <f>VLOOKUP(C111,'Equalização'!E:J,6,0)</f>
        <v>#N/A</v>
      </c>
      <c r="J111" s="31" t="s">
        <v>245</v>
      </c>
    </row>
    <row r="112" ht="15.75" customHeight="1">
      <c r="C112" s="47">
        <v>225580.0</v>
      </c>
      <c r="D112" s="47" t="str">
        <f>VLOOKUP(C112,'Equalização'!E:J,6,0)</f>
        <v>#N/A</v>
      </c>
      <c r="J112" s="31" t="s">
        <v>246</v>
      </c>
    </row>
    <row r="113" ht="15.75" customHeight="1">
      <c r="C113" s="47">
        <v>211545.0</v>
      </c>
      <c r="D113" s="47" t="str">
        <f>VLOOKUP(C113,'Equalização'!E:J,6,0)</f>
        <v>#N/A</v>
      </c>
      <c r="J113" s="31" t="s">
        <v>247</v>
      </c>
    </row>
    <row r="114" ht="15.75" customHeight="1">
      <c r="C114" s="47">
        <v>211796.0</v>
      </c>
      <c r="D114" s="47" t="str">
        <f>VLOOKUP(C114,'Equalização'!E:J,6,0)</f>
        <v>#N/A</v>
      </c>
      <c r="J114" s="31" t="s">
        <v>248</v>
      </c>
    </row>
    <row r="115" ht="15.75" customHeight="1">
      <c r="C115" s="47">
        <v>189983.0</v>
      </c>
      <c r="D115" s="47" t="str">
        <f>VLOOKUP(C115,'Equalização'!E:J,6,0)</f>
        <v>#N/A</v>
      </c>
      <c r="J115" s="31" t="s">
        <v>249</v>
      </c>
    </row>
    <row r="116" ht="15.75" customHeight="1">
      <c r="C116" s="47">
        <v>220294.0</v>
      </c>
      <c r="D116" s="47" t="str">
        <f>VLOOKUP(C116,'Equalização'!E:J,6,0)</f>
        <v>#N/A</v>
      </c>
      <c r="J116" s="31" t="s">
        <v>250</v>
      </c>
    </row>
    <row r="117" ht="15.75" customHeight="1">
      <c r="C117" s="47">
        <v>183829.0</v>
      </c>
      <c r="D117" s="47" t="str">
        <f>VLOOKUP(C117,'Equalização'!E:J,6,0)</f>
        <v>#N/A</v>
      </c>
      <c r="J117" s="31" t="s">
        <v>251</v>
      </c>
    </row>
    <row r="118" ht="15.75" customHeight="1">
      <c r="C118" s="47">
        <v>220093.0</v>
      </c>
      <c r="D118" s="47" t="str">
        <f>VLOOKUP(C118,'Equalização'!E:J,6,0)</f>
        <v>#N/A</v>
      </c>
      <c r="J118" s="31" t="s">
        <v>252</v>
      </c>
    </row>
    <row r="119" ht="15.75" customHeight="1">
      <c r="C119" s="47">
        <v>225629.0</v>
      </c>
      <c r="D119" s="47" t="str">
        <f>VLOOKUP(C119,'Equalização'!E:J,6,0)</f>
        <v>#N/A</v>
      </c>
      <c r="J119" s="31" t="s">
        <v>253</v>
      </c>
    </row>
    <row r="120" ht="15.75" customHeight="1">
      <c r="C120" s="47">
        <v>206064.0</v>
      </c>
      <c r="D120" s="47" t="str">
        <f>VLOOKUP(C120,'Equalização'!E:J,6,0)</f>
        <v>#N/A</v>
      </c>
      <c r="J120" s="31" t="s">
        <v>254</v>
      </c>
    </row>
    <row r="121" ht="15.75" customHeight="1">
      <c r="C121" s="47">
        <v>238439.0</v>
      </c>
      <c r="D121" s="47" t="str">
        <f>VLOOKUP(C121,'Equalização'!E:J,6,0)</f>
        <v>#N/A</v>
      </c>
      <c r="J121" s="31" t="s">
        <v>255</v>
      </c>
    </row>
    <row r="122" ht="15.75" customHeight="1">
      <c r="C122" s="47">
        <v>223369.0</v>
      </c>
      <c r="D122" s="47" t="str">
        <f>VLOOKUP(C122,'Equalização'!E:J,6,0)</f>
        <v>#N/A</v>
      </c>
      <c r="J122" s="31" t="s">
        <v>256</v>
      </c>
    </row>
    <row r="123" ht="15.75" customHeight="1">
      <c r="C123" s="47">
        <v>220106.0</v>
      </c>
      <c r="D123" s="47" t="str">
        <f>VLOOKUP(C123,'Equalização'!E:J,6,0)</f>
        <v>#N/A</v>
      </c>
      <c r="J123" s="31" t="s">
        <v>257</v>
      </c>
    </row>
    <row r="124" ht="15.75" customHeight="1">
      <c r="C124" s="47">
        <v>207181.0</v>
      </c>
      <c r="D124" s="47" t="str">
        <f>VLOOKUP(C124,'Equalização'!E:J,6,0)</f>
        <v>#N/A</v>
      </c>
      <c r="J124" s="31" t="s">
        <v>258</v>
      </c>
    </row>
    <row r="125" ht="15.75" customHeight="1">
      <c r="C125" s="47">
        <v>212234.0</v>
      </c>
      <c r="D125" s="47" t="str">
        <f>VLOOKUP(C125,'Equalização'!E:J,6,0)</f>
        <v>BECTON DICKINSON IND CIRURG LTDA</v>
      </c>
      <c r="J125" s="31" t="s">
        <v>259</v>
      </c>
    </row>
    <row r="126" ht="15.75" customHeight="1">
      <c r="C126" s="47">
        <v>205915.0</v>
      </c>
      <c r="D126" s="47" t="str">
        <f>VLOOKUP(C126,'Equalização'!E:J,6,0)</f>
        <v>#N/A</v>
      </c>
      <c r="J126" s="31" t="s">
        <v>260</v>
      </c>
    </row>
    <row r="127" ht="15.75" customHeight="1">
      <c r="C127" s="47">
        <v>226238.0</v>
      </c>
      <c r="D127" s="47" t="str">
        <f>VLOOKUP(C127,'Equalização'!E:J,6,0)</f>
        <v>#N/A</v>
      </c>
      <c r="J127" s="31" t="s">
        <v>261</v>
      </c>
    </row>
    <row r="128" ht="15.75" customHeight="1">
      <c r="C128" s="47">
        <v>222290.0</v>
      </c>
      <c r="D128" s="47" t="str">
        <f>VLOOKUP(C128,'Equalização'!E:J,6,0)</f>
        <v>#N/A</v>
      </c>
      <c r="J128" s="31" t="s">
        <v>262</v>
      </c>
    </row>
    <row r="129" ht="15.75" customHeight="1">
      <c r="C129" s="47">
        <v>204702.0</v>
      </c>
      <c r="D129" s="47" t="str">
        <f>VLOOKUP(C129,'Equalização'!E:J,6,0)</f>
        <v>#N/A</v>
      </c>
      <c r="J129" s="31" t="s">
        <v>263</v>
      </c>
    </row>
    <row r="130" ht="15.75" customHeight="1">
      <c r="C130" s="47">
        <v>219901.0</v>
      </c>
      <c r="D130" s="47" t="str">
        <f>VLOOKUP(C130,'Equalização'!E:J,6,0)</f>
        <v>#N/A</v>
      </c>
      <c r="J130" s="31" t="s">
        <v>264</v>
      </c>
    </row>
    <row r="131" ht="15.75" customHeight="1">
      <c r="C131" s="47">
        <v>225787.0</v>
      </c>
      <c r="D131" s="47" t="str">
        <f>VLOOKUP(C131,'Equalização'!E:J,6,0)</f>
        <v>#N/A</v>
      </c>
      <c r="J131" s="31" t="s">
        <v>265</v>
      </c>
    </row>
    <row r="132" ht="15.75" customHeight="1">
      <c r="C132" s="47">
        <v>240065.0</v>
      </c>
      <c r="D132" s="47" t="str">
        <f>VLOOKUP(C132,'Equalização'!E:J,6,0)</f>
        <v>#N/A</v>
      </c>
      <c r="J132" s="31" t="s">
        <v>266</v>
      </c>
    </row>
    <row r="133" ht="15.75" customHeight="1">
      <c r="C133" s="47">
        <v>210601.0</v>
      </c>
      <c r="D133" s="47" t="str">
        <f>VLOOKUP(C133,'Equalização'!E:J,6,0)</f>
        <v>#N/A</v>
      </c>
      <c r="J133" s="33" t="s">
        <v>267</v>
      </c>
    </row>
    <row r="134" ht="15.75" customHeight="1">
      <c r="C134" s="47">
        <v>211546.0</v>
      </c>
      <c r="D134" s="47" t="str">
        <f>VLOOKUP(C134,'Equalização'!E:J,6,0)</f>
        <v>#N/A</v>
      </c>
      <c r="J134" s="31" t="s">
        <v>268</v>
      </c>
    </row>
    <row r="135" ht="15.75" customHeight="1">
      <c r="C135" s="47">
        <v>206092.0</v>
      </c>
      <c r="D135" s="47" t="str">
        <f>VLOOKUP(C135,'Equalização'!E:J,6,0)</f>
        <v>#N/A</v>
      </c>
      <c r="J135" s="31" t="s">
        <v>269</v>
      </c>
    </row>
    <row r="136" ht="15.75" customHeight="1">
      <c r="C136" s="47">
        <v>223364.0</v>
      </c>
      <c r="D136" s="47" t="str">
        <f>VLOOKUP(C136,'Equalização'!E:J,6,0)</f>
        <v>#N/A</v>
      </c>
      <c r="J136" s="31" t="s">
        <v>270</v>
      </c>
    </row>
    <row r="137" ht="15.75" customHeight="1">
      <c r="C137" s="47">
        <v>225624.0</v>
      </c>
      <c r="D137" s="47" t="str">
        <f>VLOOKUP(C137,'Equalização'!E:J,6,0)</f>
        <v>#N/A</v>
      </c>
      <c r="J137" s="31" t="s">
        <v>271</v>
      </c>
    </row>
    <row r="138" ht="15.75" customHeight="1">
      <c r="C138" s="47">
        <v>204807.0</v>
      </c>
      <c r="D138" s="47" t="str">
        <f>VLOOKUP(C138,'Equalização'!E:J,6,0)</f>
        <v>#N/A</v>
      </c>
      <c r="J138" s="31" t="s">
        <v>272</v>
      </c>
    </row>
    <row r="139" ht="15.75" customHeight="1">
      <c r="C139" s="47">
        <v>225640.0</v>
      </c>
      <c r="D139" s="47" t="str">
        <f>VLOOKUP(C139,'Equalização'!E:J,6,0)</f>
        <v>#N/A</v>
      </c>
      <c r="J139" s="31" t="s">
        <v>273</v>
      </c>
    </row>
    <row r="140" ht="15.75" customHeight="1">
      <c r="C140" s="47">
        <v>226275.0</v>
      </c>
      <c r="D140" s="47" t="str">
        <f>VLOOKUP(C140,'Equalização'!E:J,6,0)</f>
        <v>#N/A</v>
      </c>
      <c r="J140" s="31" t="s">
        <v>274</v>
      </c>
    </row>
    <row r="141" ht="15.75" customHeight="1">
      <c r="C141" s="47">
        <v>218506.0</v>
      </c>
      <c r="D141" s="47" t="str">
        <f>VLOOKUP(C141,'Equalização'!E:J,6,0)</f>
        <v>#N/A</v>
      </c>
      <c r="J141" s="31" t="s">
        <v>275</v>
      </c>
    </row>
    <row r="142" ht="15.75" customHeight="1">
      <c r="C142" s="47">
        <v>226206.0</v>
      </c>
      <c r="D142" s="47" t="str">
        <f>VLOOKUP(C142,'Equalização'!E:J,6,0)</f>
        <v>#N/A</v>
      </c>
      <c r="J142" s="31" t="s">
        <v>276</v>
      </c>
    </row>
    <row r="143" ht="15.75" customHeight="1">
      <c r="C143" s="47">
        <v>139779.0</v>
      </c>
      <c r="D143" s="47" t="str">
        <f>VLOOKUP(C143,'Equalização'!E:J,6,0)</f>
        <v>BECTON DICKINSON INDUSTRIAS CIRURGI</v>
      </c>
      <c r="J143" s="31" t="s">
        <v>277</v>
      </c>
    </row>
    <row r="144" ht="15.75" customHeight="1">
      <c r="C144" s="47">
        <v>218357.0</v>
      </c>
      <c r="D144" s="47" t="str">
        <f>VLOOKUP(C144,'Equalização'!E:J,6,0)</f>
        <v>#N/A</v>
      </c>
      <c r="J144" s="31" t="s">
        <v>278</v>
      </c>
    </row>
    <row r="145" ht="15.75" customHeight="1">
      <c r="C145" s="47">
        <v>222381.0</v>
      </c>
      <c r="D145" s="47" t="str">
        <f>VLOOKUP(C145,'Equalização'!E:J,6,0)</f>
        <v>#N/A</v>
      </c>
      <c r="J145" s="31" t="s">
        <v>279</v>
      </c>
    </row>
    <row r="146" ht="15.75" customHeight="1">
      <c r="C146" s="47">
        <v>206037.0</v>
      </c>
      <c r="D146" s="47" t="str">
        <f>VLOOKUP(C146,'Equalização'!E:J,6,0)</f>
        <v>#N/A</v>
      </c>
      <c r="J146" s="31" t="s">
        <v>280</v>
      </c>
    </row>
    <row r="147" ht="15.75" customHeight="1">
      <c r="C147" s="47">
        <v>240044.0</v>
      </c>
      <c r="D147" s="47" t="str">
        <f>VLOOKUP(C147,'Equalização'!E:J,6,0)</f>
        <v>#N/A</v>
      </c>
      <c r="J147" s="31" t="s">
        <v>281</v>
      </c>
    </row>
    <row r="148" ht="15.75" customHeight="1">
      <c r="C148" s="47">
        <v>206056.0</v>
      </c>
      <c r="D148" s="47" t="str">
        <f>VLOOKUP(C148,'Equalização'!E:J,6,0)</f>
        <v>#N/A</v>
      </c>
      <c r="J148" s="31" t="s">
        <v>282</v>
      </c>
    </row>
    <row r="149" ht="15.75" customHeight="1">
      <c r="C149" s="47">
        <v>225665.0</v>
      </c>
      <c r="D149" s="47" t="str">
        <f>VLOOKUP(C149,'Equalização'!E:J,6,0)</f>
        <v>#N/A</v>
      </c>
      <c r="J149" s="31" t="s">
        <v>283</v>
      </c>
    </row>
    <row r="150" ht="15.75" customHeight="1">
      <c r="C150" s="47">
        <v>152696.0</v>
      </c>
      <c r="D150" s="47" t="str">
        <f>VLOOKUP(C150,'Equalização'!E:J,6,0)</f>
        <v>#N/A</v>
      </c>
      <c r="J150" s="31" t="s">
        <v>284</v>
      </c>
    </row>
    <row r="151" ht="15.75" customHeight="1">
      <c r="C151" s="47">
        <v>226234.0</v>
      </c>
      <c r="D151" s="47" t="str">
        <f>VLOOKUP(C151,'Equalização'!E:J,6,0)</f>
        <v>#N/A</v>
      </c>
      <c r="J151" s="31" t="s">
        <v>285</v>
      </c>
    </row>
    <row r="152" ht="15.75" customHeight="1">
      <c r="C152" s="47">
        <v>227706.0</v>
      </c>
      <c r="D152" s="47" t="str">
        <f>VLOOKUP(C152,'Equalização'!E:J,6,0)</f>
        <v>#N/A</v>
      </c>
      <c r="J152" s="31" t="s">
        <v>286</v>
      </c>
    </row>
    <row r="153" ht="15.75" customHeight="1">
      <c r="C153" s="47">
        <v>206101.0</v>
      </c>
      <c r="D153" s="47" t="str">
        <f>VLOOKUP(C153,'Equalização'!E:J,6,0)</f>
        <v>#N/A</v>
      </c>
      <c r="J153" s="31" t="s">
        <v>287</v>
      </c>
    </row>
    <row r="154" ht="15.75" customHeight="1">
      <c r="C154" s="47">
        <v>161438.0</v>
      </c>
      <c r="D154" s="47" t="str">
        <f>VLOOKUP(C154,'Equalização'!E:J,6,0)</f>
        <v>#N/A</v>
      </c>
      <c r="J154" s="31" t="s">
        <v>288</v>
      </c>
    </row>
    <row r="155" ht="15.75" customHeight="1">
      <c r="C155" s="47">
        <v>118455.0</v>
      </c>
      <c r="D155" s="47" t="str">
        <f>VLOOKUP(C155,'Equalização'!E:J,6,0)</f>
        <v>#N/A</v>
      </c>
      <c r="J155" s="31" t="s">
        <v>289</v>
      </c>
    </row>
    <row r="156" ht="15.75" customHeight="1">
      <c r="C156" s="47">
        <v>208018.0</v>
      </c>
      <c r="D156" s="47" t="str">
        <f>VLOOKUP(C156,'Equalização'!E:J,6,0)</f>
        <v>#N/A</v>
      </c>
      <c r="J156" s="31" t="s">
        <v>290</v>
      </c>
    </row>
    <row r="157" ht="15.75" customHeight="1">
      <c r="C157" s="47">
        <v>225801.0</v>
      </c>
      <c r="D157" s="47" t="str">
        <f>VLOOKUP(C157,'Equalização'!E:J,6,0)</f>
        <v>#N/A</v>
      </c>
      <c r="J157" s="31" t="s">
        <v>291</v>
      </c>
    </row>
    <row r="158" ht="15.75" customHeight="1">
      <c r="C158" s="47">
        <v>203579.0</v>
      </c>
      <c r="D158" s="47" t="str">
        <f>VLOOKUP(C158,'Equalização'!E:J,6,0)</f>
        <v>#N/A</v>
      </c>
      <c r="J158" s="31" t="s">
        <v>292</v>
      </c>
    </row>
    <row r="159" ht="15.75" customHeight="1">
      <c r="C159" s="47">
        <v>214063.0</v>
      </c>
      <c r="D159" s="47" t="str">
        <f>VLOOKUP(C159,'Equalização'!E:J,6,0)</f>
        <v>#N/A</v>
      </c>
      <c r="J159" s="31" t="s">
        <v>293</v>
      </c>
    </row>
    <row r="160" ht="15.75" customHeight="1">
      <c r="C160" s="47">
        <v>190879.0</v>
      </c>
      <c r="D160" s="47" t="str">
        <f>VLOOKUP(C160,'Equalização'!E:J,6,0)</f>
        <v>#N/A</v>
      </c>
      <c r="J160" s="33" t="s">
        <v>294</v>
      </c>
    </row>
    <row r="161" ht="15.75" customHeight="1">
      <c r="C161" s="47">
        <v>227907.0</v>
      </c>
      <c r="D161" s="47" t="str">
        <f>VLOOKUP(C161,'Equalização'!E:J,6,0)</f>
        <v>#N/A</v>
      </c>
      <c r="J161" s="31" t="s">
        <v>295</v>
      </c>
    </row>
    <row r="162" ht="15.75" customHeight="1">
      <c r="C162" s="47">
        <v>225637.0</v>
      </c>
      <c r="D162" s="47" t="str">
        <f>VLOOKUP(C162,'Equalização'!E:J,6,0)</f>
        <v>#N/A</v>
      </c>
      <c r="J162" s="31" t="s">
        <v>296</v>
      </c>
    </row>
    <row r="163" ht="15.75" customHeight="1">
      <c r="C163" s="47">
        <v>218503.0</v>
      </c>
      <c r="D163" s="47" t="str">
        <f>VLOOKUP(C163,'Equalização'!E:J,6,0)</f>
        <v>#N/A</v>
      </c>
      <c r="J163" s="31" t="s">
        <v>297</v>
      </c>
    </row>
    <row r="164" ht="15.75" customHeight="1">
      <c r="C164" s="47">
        <v>218515.0</v>
      </c>
      <c r="D164" s="47" t="str">
        <f>VLOOKUP(C164,'Equalização'!E:J,6,0)</f>
        <v>#N/A</v>
      </c>
      <c r="J164" s="31" t="s">
        <v>298</v>
      </c>
    </row>
    <row r="165" ht="15.75" customHeight="1">
      <c r="C165" s="47">
        <v>207976.0</v>
      </c>
      <c r="D165" s="47" t="str">
        <f>VLOOKUP(C165,'Equalização'!E:J,6,0)</f>
        <v>#N/A</v>
      </c>
      <c r="J165" s="31" t="s">
        <v>299</v>
      </c>
    </row>
    <row r="166" ht="15.75" customHeight="1">
      <c r="C166" s="47">
        <v>207790.0</v>
      </c>
      <c r="D166" s="47" t="str">
        <f>VLOOKUP(C166,'Equalização'!E:J,6,0)</f>
        <v>#N/A</v>
      </c>
      <c r="J166" s="31" t="s">
        <v>300</v>
      </c>
    </row>
    <row r="167" ht="15.75" customHeight="1">
      <c r="C167" s="47">
        <v>212992.0</v>
      </c>
      <c r="D167" s="47" t="str">
        <f>VLOOKUP(C167,'Equalização'!E:J,6,0)</f>
        <v>#N/A</v>
      </c>
      <c r="J167" s="31" t="s">
        <v>301</v>
      </c>
    </row>
    <row r="168" ht="15.75" customHeight="1">
      <c r="C168" s="47">
        <v>206019.0</v>
      </c>
      <c r="D168" s="47" t="str">
        <f>VLOOKUP(C168,'Equalização'!E:J,6,0)</f>
        <v>#N/A</v>
      </c>
      <c r="J168" s="31" t="s">
        <v>302</v>
      </c>
    </row>
    <row r="169" ht="15.75" customHeight="1">
      <c r="C169" s="47">
        <v>226236.0</v>
      </c>
      <c r="D169" s="47" t="str">
        <f>VLOOKUP(C169,'Equalização'!E:J,6,0)</f>
        <v>#N/A</v>
      </c>
      <c r="J169" s="31" t="s">
        <v>303</v>
      </c>
    </row>
    <row r="170" ht="15.75" customHeight="1">
      <c r="C170" s="47">
        <v>214036.0</v>
      </c>
      <c r="D170" s="47" t="str">
        <f>VLOOKUP(C170,'Equalização'!E:J,6,0)</f>
        <v>#N/A</v>
      </c>
      <c r="J170" s="31" t="s">
        <v>304</v>
      </c>
    </row>
    <row r="171" ht="15.75" customHeight="1">
      <c r="C171" s="47">
        <v>223362.0</v>
      </c>
      <c r="D171" s="47" t="str">
        <f>VLOOKUP(C171,'Equalização'!E:J,6,0)</f>
        <v>#N/A</v>
      </c>
      <c r="J171" s="31" t="s">
        <v>305</v>
      </c>
    </row>
    <row r="172" ht="15.75" customHeight="1">
      <c r="C172" s="47">
        <v>220614.0</v>
      </c>
      <c r="D172" s="47" t="str">
        <f>VLOOKUP(C172,'Equalização'!E:J,6,0)</f>
        <v>#N/A</v>
      </c>
      <c r="J172" s="31" t="s">
        <v>306</v>
      </c>
    </row>
    <row r="173" ht="15.75" customHeight="1">
      <c r="C173" s="47">
        <v>133405.0</v>
      </c>
      <c r="D173" s="47" t="str">
        <f>VLOOKUP(C173,'Equalização'!E:J,6,0)</f>
        <v>#N/A</v>
      </c>
      <c r="J173" s="31" t="s">
        <v>307</v>
      </c>
    </row>
    <row r="174" ht="15.75" customHeight="1">
      <c r="C174" s="47">
        <v>63533.0</v>
      </c>
      <c r="D174" s="47" t="str">
        <f>VLOOKUP(C174,'Equalização'!E:J,6,0)</f>
        <v>#N/A</v>
      </c>
      <c r="J174" s="31" t="s">
        <v>308</v>
      </c>
    </row>
    <row r="175" ht="15.75" customHeight="1">
      <c r="C175" s="47">
        <v>206065.0</v>
      </c>
      <c r="D175" s="47" t="str">
        <f>VLOOKUP(C175,'Equalização'!E:J,6,0)</f>
        <v>#N/A</v>
      </c>
      <c r="J175" s="31" t="s">
        <v>309</v>
      </c>
    </row>
    <row r="176" ht="15.75" customHeight="1">
      <c r="C176" s="47">
        <v>159401.0</v>
      </c>
      <c r="D176" s="47" t="str">
        <f>VLOOKUP(C176,'Equalização'!E:J,6,0)</f>
        <v>#N/A</v>
      </c>
      <c r="J176" s="31" t="s">
        <v>310</v>
      </c>
    </row>
    <row r="177" ht="15.75" customHeight="1">
      <c r="C177" s="47">
        <v>189984.0</v>
      </c>
      <c r="D177" s="47" t="str">
        <f>VLOOKUP(C177,'Equalização'!E:J,6,0)</f>
        <v>#N/A</v>
      </c>
      <c r="J177" s="31" t="s">
        <v>311</v>
      </c>
    </row>
    <row r="178" ht="15.75" customHeight="1">
      <c r="C178" s="47">
        <v>156597.0</v>
      </c>
      <c r="D178" s="47" t="str">
        <f>VLOOKUP(C178,'Equalização'!E:J,6,0)</f>
        <v>#N/A</v>
      </c>
      <c r="J178" s="31" t="s">
        <v>312</v>
      </c>
    </row>
    <row r="179" ht="15.75" customHeight="1">
      <c r="C179" s="47">
        <v>198361.0</v>
      </c>
      <c r="D179" s="47" t="str">
        <f>VLOOKUP(C179,'Equalização'!E:J,6,0)</f>
        <v>BECTON DICKINSON IND CIRURG LTDA</v>
      </c>
      <c r="J179" s="31" t="s">
        <v>313</v>
      </c>
    </row>
    <row r="180" ht="15.75" customHeight="1">
      <c r="C180" s="47">
        <v>212993.0</v>
      </c>
      <c r="D180" s="47" t="str">
        <f>VLOOKUP(C180,'Equalização'!E:J,6,0)</f>
        <v>#N/A</v>
      </c>
      <c r="J180" s="31" t="s">
        <v>314</v>
      </c>
    </row>
    <row r="181" ht="15.75" customHeight="1">
      <c r="C181" s="47">
        <v>224075.0</v>
      </c>
      <c r="D181" s="47" t="str">
        <f>VLOOKUP(C181,'Equalização'!E:J,6,0)</f>
        <v>#N/A</v>
      </c>
      <c r="J181" s="31" t="s">
        <v>315</v>
      </c>
    </row>
    <row r="182" ht="15.75" customHeight="1">
      <c r="C182" s="47">
        <v>223373.0</v>
      </c>
      <c r="D182" s="47" t="str">
        <f>VLOOKUP(C182,'Equalização'!E:J,6,0)</f>
        <v>#N/A</v>
      </c>
      <c r="J182" s="31" t="s">
        <v>316</v>
      </c>
    </row>
    <row r="183" ht="15.75" customHeight="1">
      <c r="C183" s="47">
        <v>225634.0</v>
      </c>
      <c r="D183" s="47" t="str">
        <f>VLOOKUP(C183,'Equalização'!E:J,6,0)</f>
        <v>#N/A</v>
      </c>
      <c r="J183" s="31" t="s">
        <v>317</v>
      </c>
    </row>
    <row r="184" ht="15.75" customHeight="1">
      <c r="C184" s="47">
        <v>206046.0</v>
      </c>
      <c r="D184" s="47" t="str">
        <f>VLOOKUP(C184,'Equalização'!E:J,6,0)</f>
        <v>#N/A</v>
      </c>
      <c r="J184" s="31" t="s">
        <v>318</v>
      </c>
    </row>
    <row r="185" ht="15.75" customHeight="1">
      <c r="C185" s="47">
        <v>225654.0</v>
      </c>
      <c r="D185" s="47" t="str">
        <f>VLOOKUP(C185,'Equalização'!E:J,6,0)</f>
        <v>#N/A</v>
      </c>
      <c r="J185" s="31" t="s">
        <v>319</v>
      </c>
    </row>
    <row r="186" ht="15.75" customHeight="1">
      <c r="C186" s="47">
        <v>154195.0</v>
      </c>
      <c r="D186" s="47" t="str">
        <f>VLOOKUP(C186,'Equalização'!E:J,6,0)</f>
        <v>#N/A</v>
      </c>
      <c r="J186" s="31" t="s">
        <v>320</v>
      </c>
    </row>
    <row r="187" ht="15.75" customHeight="1">
      <c r="C187" s="47">
        <v>206102.0</v>
      </c>
      <c r="D187" s="47" t="str">
        <f>VLOOKUP(C187,'Equalização'!E:J,6,0)</f>
        <v>#N/A</v>
      </c>
      <c r="J187" s="31" t="s">
        <v>321</v>
      </c>
    </row>
    <row r="188" ht="15.75" customHeight="1">
      <c r="C188" s="47">
        <v>225584.0</v>
      </c>
      <c r="D188" s="47" t="str">
        <f>VLOOKUP(C188,'Equalização'!E:J,6,0)</f>
        <v>#N/A</v>
      </c>
      <c r="J188" s="31" t="s">
        <v>322</v>
      </c>
    </row>
    <row r="189" ht="15.75" customHeight="1">
      <c r="C189" s="47">
        <v>206004.0</v>
      </c>
      <c r="D189" s="47" t="str">
        <f>VLOOKUP(C189,'Equalização'!E:J,6,0)</f>
        <v>#N/A</v>
      </c>
      <c r="J189" s="31" t="s">
        <v>323</v>
      </c>
    </row>
    <row r="190" ht="15.75" customHeight="1">
      <c r="C190" s="47">
        <v>211621.0</v>
      </c>
      <c r="D190" s="47" t="str">
        <f>VLOOKUP(C190,'Equalização'!E:J,6,0)</f>
        <v>#N/A</v>
      </c>
      <c r="J190" s="31" t="s">
        <v>324</v>
      </c>
    </row>
    <row r="191" ht="15.75" customHeight="1">
      <c r="C191" s="47">
        <v>214198.0</v>
      </c>
      <c r="D191" s="47" t="str">
        <f>VLOOKUP(C191,'Equalização'!E:J,6,0)</f>
        <v>#N/A</v>
      </c>
      <c r="J191" s="31" t="s">
        <v>325</v>
      </c>
    </row>
    <row r="192" ht="15.75" customHeight="1">
      <c r="C192" s="47">
        <v>205818.0</v>
      </c>
      <c r="D192" s="47" t="str">
        <f>VLOOKUP(C192,'Equalização'!E:J,6,0)</f>
        <v>#N/A</v>
      </c>
      <c r="J192" s="31" t="s">
        <v>326</v>
      </c>
    </row>
    <row r="193" ht="15.75" customHeight="1">
      <c r="C193" s="47">
        <v>204754.0</v>
      </c>
      <c r="D193" s="47" t="str">
        <f>VLOOKUP(C193,'Equalização'!E:J,6,0)</f>
        <v>#N/A</v>
      </c>
      <c r="J193" s="31" t="s">
        <v>327</v>
      </c>
    </row>
    <row r="194" ht="15.75" customHeight="1">
      <c r="C194" s="47">
        <v>163458.0</v>
      </c>
      <c r="D194" s="47" t="str">
        <f>VLOOKUP(C194,'Equalização'!E:J,6,0)</f>
        <v>#N/A</v>
      </c>
      <c r="J194" s="31" t="s">
        <v>328</v>
      </c>
    </row>
    <row r="195" ht="15.75" customHeight="1">
      <c r="C195" s="47">
        <v>225724.0</v>
      </c>
      <c r="D195" s="47" t="str">
        <f>VLOOKUP(C195,'Equalização'!E:J,6,0)</f>
        <v>#N/A</v>
      </c>
      <c r="J195" s="31" t="s">
        <v>329</v>
      </c>
    </row>
    <row r="196" ht="15.75" customHeight="1">
      <c r="C196" s="47">
        <v>225622.0</v>
      </c>
      <c r="D196" s="47" t="str">
        <f>VLOOKUP(C196,'Equalização'!E:J,6,0)</f>
        <v>#N/A</v>
      </c>
      <c r="J196" s="31" t="s">
        <v>330</v>
      </c>
    </row>
    <row r="197" ht="15.75" customHeight="1">
      <c r="C197" s="47">
        <v>206018.0</v>
      </c>
      <c r="D197" s="47" t="str">
        <f>VLOOKUP(C197,'Equalização'!E:J,6,0)</f>
        <v>#N/A</v>
      </c>
      <c r="J197" s="31" t="s">
        <v>331</v>
      </c>
    </row>
    <row r="198" ht="15.75" customHeight="1">
      <c r="C198" s="47">
        <v>208014.0</v>
      </c>
      <c r="D198" s="47" t="str">
        <f>VLOOKUP(C198,'Equalização'!E:J,6,0)</f>
        <v>#N/A</v>
      </c>
      <c r="J198" s="31" t="s">
        <v>332</v>
      </c>
    </row>
    <row r="199" ht="15.75" customHeight="1">
      <c r="C199" s="47">
        <v>218356.0</v>
      </c>
      <c r="D199" s="47" t="str">
        <f>VLOOKUP(C199,'Equalização'!E:J,6,0)</f>
        <v>#N/A</v>
      </c>
      <c r="J199" s="31" t="s">
        <v>333</v>
      </c>
    </row>
    <row r="200" ht="15.75" customHeight="1">
      <c r="C200" s="47">
        <v>213700.0</v>
      </c>
      <c r="D200" s="47" t="str">
        <f>VLOOKUP(C200,'Equalização'!E:J,6,0)</f>
        <v>#N/A</v>
      </c>
      <c r="J200" s="31" t="s">
        <v>334</v>
      </c>
    </row>
    <row r="201" ht="15.75" customHeight="1">
      <c r="C201" s="47">
        <v>84522.0</v>
      </c>
      <c r="D201" s="47" t="str">
        <f>VLOOKUP(C201,'Equalização'!E:J,6,0)</f>
        <v>#N/A</v>
      </c>
      <c r="J201" s="31" t="s">
        <v>335</v>
      </c>
    </row>
    <row r="202" ht="15.75" customHeight="1">
      <c r="C202" s="47">
        <v>207788.0</v>
      </c>
      <c r="D202" s="47" t="str">
        <f>VLOOKUP(C202,'Equalização'!E:J,6,0)</f>
        <v>#N/A</v>
      </c>
      <c r="J202" s="31" t="s">
        <v>336</v>
      </c>
    </row>
    <row r="203" ht="15.75" customHeight="1">
      <c r="C203" s="47">
        <v>219615.0</v>
      </c>
      <c r="D203" s="47" t="str">
        <f>VLOOKUP(C203,'Equalização'!E:J,6,0)</f>
        <v>#N/A</v>
      </c>
      <c r="J203" s="31" t="s">
        <v>337</v>
      </c>
    </row>
    <row r="204" ht="15.75" customHeight="1">
      <c r="C204" s="47">
        <v>225630.0</v>
      </c>
      <c r="D204" s="47" t="str">
        <f>VLOOKUP(C204,'Equalização'!E:J,6,0)</f>
        <v>#N/A</v>
      </c>
      <c r="J204" s="31" t="s">
        <v>338</v>
      </c>
    </row>
    <row r="205" ht="15.75" customHeight="1">
      <c r="C205" s="47">
        <v>226198.0</v>
      </c>
      <c r="D205" s="47" t="str">
        <f>VLOOKUP(C205,'Equalização'!E:J,6,0)</f>
        <v>#N/A</v>
      </c>
      <c r="J205" s="31" t="s">
        <v>339</v>
      </c>
    </row>
    <row r="206" ht="15.75" customHeight="1">
      <c r="C206" s="47">
        <v>209045.0</v>
      </c>
      <c r="D206" s="47" t="str">
        <f>VLOOKUP(C206,'Equalização'!E:J,6,0)</f>
        <v>#N/A</v>
      </c>
      <c r="J206" s="31" t="s">
        <v>340</v>
      </c>
    </row>
    <row r="207" ht="15.75" customHeight="1">
      <c r="C207" s="47">
        <v>213149.0</v>
      </c>
      <c r="D207" s="47" t="str">
        <f>VLOOKUP(C207,'Equalização'!E:J,6,0)</f>
        <v>#N/A</v>
      </c>
      <c r="J207" s="31" t="s">
        <v>341</v>
      </c>
    </row>
    <row r="208" ht="15.75" customHeight="1">
      <c r="C208" s="47">
        <v>236409.0</v>
      </c>
      <c r="D208" s="47" t="str">
        <f>VLOOKUP(C208,'Equalização'!E:J,6,0)</f>
        <v>#N/A</v>
      </c>
      <c r="J208" s="31" t="s">
        <v>342</v>
      </c>
    </row>
    <row r="209" ht="15.75" customHeight="1">
      <c r="C209" s="47">
        <v>121130.0</v>
      </c>
      <c r="D209" s="47" t="str">
        <f>VLOOKUP(C209,'Equalização'!E:J,6,0)</f>
        <v>#N/A</v>
      </c>
      <c r="J209" s="31" t="s">
        <v>343</v>
      </c>
    </row>
    <row r="210" ht="15.75" customHeight="1">
      <c r="C210" s="47">
        <v>37532.0</v>
      </c>
      <c r="D210" s="47" t="str">
        <f>VLOOKUP(C210,'Equalização'!E:J,6,0)</f>
        <v>#N/A</v>
      </c>
      <c r="J210" s="31" t="s">
        <v>344</v>
      </c>
    </row>
    <row r="211" ht="15.75" customHeight="1">
      <c r="C211" s="47">
        <v>212994.0</v>
      </c>
      <c r="D211" s="47" t="str">
        <f>VLOOKUP(C211,'Equalização'!E:J,6,0)</f>
        <v>#N/A</v>
      </c>
      <c r="J211" s="31" t="s">
        <v>345</v>
      </c>
    </row>
    <row r="212" ht="15.75" customHeight="1">
      <c r="C212" s="47">
        <v>206042.0</v>
      </c>
      <c r="D212" s="47" t="str">
        <f>VLOOKUP(C212,'Equalização'!E:J,6,0)</f>
        <v>#N/A</v>
      </c>
      <c r="J212" s="31" t="s">
        <v>346</v>
      </c>
    </row>
    <row r="213" ht="15.75" customHeight="1">
      <c r="C213" s="47">
        <v>213003.0</v>
      </c>
      <c r="D213" s="47" t="str">
        <f>VLOOKUP(C213,'Equalização'!E:J,6,0)</f>
        <v>#N/A</v>
      </c>
      <c r="J213" s="31" t="s">
        <v>347</v>
      </c>
    </row>
    <row r="214" ht="15.75" customHeight="1">
      <c r="C214" s="47">
        <v>214048.0</v>
      </c>
      <c r="D214" s="47" t="str">
        <f>VLOOKUP(C214,'Equalização'!E:J,6,0)</f>
        <v>#N/A</v>
      </c>
      <c r="J214" s="31" t="s">
        <v>348</v>
      </c>
    </row>
    <row r="215" ht="15.75" customHeight="1">
      <c r="C215" s="47">
        <v>87246.0</v>
      </c>
      <c r="D215" s="47" t="str">
        <f>VLOOKUP(C215,'Equalização'!E:J,6,0)</f>
        <v>#N/A</v>
      </c>
      <c r="J215" s="31" t="s">
        <v>349</v>
      </c>
    </row>
    <row r="216" ht="15.75" customHeight="1">
      <c r="C216" s="47">
        <v>207148.0</v>
      </c>
      <c r="D216" s="47" t="str">
        <f>VLOOKUP(C216,'Equalização'!E:J,6,0)</f>
        <v>#N/A</v>
      </c>
      <c r="J216" s="31" t="s">
        <v>350</v>
      </c>
    </row>
    <row r="217" ht="15.75" customHeight="1">
      <c r="C217" s="47">
        <v>204699.0</v>
      </c>
      <c r="D217" s="47" t="str">
        <f>VLOOKUP(C217,'Equalização'!E:J,6,0)</f>
        <v>#N/A</v>
      </c>
      <c r="J217" s="31" t="s">
        <v>351</v>
      </c>
    </row>
    <row r="218" ht="15.75" customHeight="1">
      <c r="C218" s="47">
        <v>168730.0</v>
      </c>
      <c r="D218" s="47" t="str">
        <f>VLOOKUP(C218,'Equalização'!E:J,6,0)</f>
        <v>#N/A</v>
      </c>
      <c r="J218" s="31" t="s">
        <v>352</v>
      </c>
    </row>
    <row r="219" ht="15.75" customHeight="1">
      <c r="C219" s="47">
        <v>208032.0</v>
      </c>
      <c r="D219" s="47" t="str">
        <f>VLOOKUP(C219,'Equalização'!E:J,6,0)</f>
        <v>#N/A</v>
      </c>
      <c r="J219" s="31" t="s">
        <v>353</v>
      </c>
    </row>
    <row r="220" ht="15.75" customHeight="1">
      <c r="C220" s="47">
        <v>222808.0</v>
      </c>
      <c r="D220" s="47" t="str">
        <f>VLOOKUP(C220,'Equalização'!E:J,6,0)</f>
        <v>#N/A</v>
      </c>
      <c r="J220" s="31" t="s">
        <v>354</v>
      </c>
    </row>
    <row r="221" ht="15.75" customHeight="1">
      <c r="C221" s="47">
        <v>198403.0</v>
      </c>
      <c r="D221" s="47" t="str">
        <f>VLOOKUP(C221,'Equalização'!E:J,6,0)</f>
        <v>#N/A</v>
      </c>
      <c r="J221" s="31" t="s">
        <v>355</v>
      </c>
    </row>
    <row r="222" ht="15.75" customHeight="1">
      <c r="C222" s="47">
        <v>209580.0</v>
      </c>
      <c r="D222" s="47" t="str">
        <f>VLOOKUP(C222,'Equalização'!E:J,6,0)</f>
        <v>#N/A</v>
      </c>
      <c r="J222" s="31" t="s">
        <v>356</v>
      </c>
    </row>
    <row r="223" ht="15.75" customHeight="1">
      <c r="C223" s="47">
        <v>226197.0</v>
      </c>
      <c r="D223" s="47" t="str">
        <f>VLOOKUP(C223,'Equalização'!E:J,6,0)</f>
        <v>#N/A</v>
      </c>
      <c r="J223" s="31" t="s">
        <v>357</v>
      </c>
    </row>
    <row r="224" ht="15.75" customHeight="1">
      <c r="C224" s="47">
        <v>87254.0</v>
      </c>
      <c r="D224" s="47" t="str">
        <f>VLOOKUP(C224,'Equalização'!E:J,6,0)</f>
        <v>#N/A</v>
      </c>
      <c r="J224" s="31" t="s">
        <v>358</v>
      </c>
    </row>
    <row r="225" ht="15.75" customHeight="1">
      <c r="C225" s="47">
        <v>219513.0</v>
      </c>
      <c r="D225" s="47" t="str">
        <f>VLOOKUP(C225,'Equalização'!E:J,6,0)</f>
        <v>#N/A</v>
      </c>
      <c r="J225" s="31" t="s">
        <v>359</v>
      </c>
    </row>
    <row r="226" ht="15.75" customHeight="1">
      <c r="C226" s="47">
        <v>213004.0</v>
      </c>
      <c r="D226" s="47" t="str">
        <f>VLOOKUP(C226,'Equalização'!E:J,6,0)</f>
        <v>#N/A</v>
      </c>
      <c r="J226" s="31" t="s">
        <v>360</v>
      </c>
    </row>
    <row r="227" ht="15.75" customHeight="1">
      <c r="C227" s="47">
        <v>225645.0</v>
      </c>
      <c r="D227" s="47" t="str">
        <f>VLOOKUP(C227,'Equalização'!E:J,6,0)</f>
        <v>#N/A</v>
      </c>
      <c r="J227" s="31" t="s">
        <v>361</v>
      </c>
    </row>
    <row r="228" ht="15.75" customHeight="1">
      <c r="C228" s="47">
        <v>205920.0</v>
      </c>
      <c r="D228" s="47" t="str">
        <f>VLOOKUP(C228,'Equalização'!E:J,6,0)</f>
        <v>#N/A</v>
      </c>
      <c r="J228" s="31" t="s">
        <v>362</v>
      </c>
    </row>
    <row r="229" ht="15.75" customHeight="1">
      <c r="C229" s="47">
        <v>207206.0</v>
      </c>
      <c r="D229" s="47" t="str">
        <f>VLOOKUP(C229,'Equalização'!E:J,6,0)</f>
        <v>#N/A</v>
      </c>
      <c r="J229" s="31" t="s">
        <v>363</v>
      </c>
    </row>
    <row r="230" ht="15.75" customHeight="1">
      <c r="C230" s="47">
        <v>225915.0</v>
      </c>
      <c r="D230" s="47" t="str">
        <f>VLOOKUP(C230,'Equalização'!E:J,6,0)</f>
        <v>#N/A</v>
      </c>
      <c r="J230" s="31" t="s">
        <v>364</v>
      </c>
    </row>
    <row r="231" ht="15.75" customHeight="1">
      <c r="C231" s="47">
        <v>213148.0</v>
      </c>
      <c r="D231" s="47" t="str">
        <f>VLOOKUP(C231,'Equalização'!E:J,6,0)</f>
        <v>#N/A</v>
      </c>
      <c r="J231" s="31" t="s">
        <v>365</v>
      </c>
    </row>
    <row r="232" ht="15.75" customHeight="1">
      <c r="C232" s="47">
        <v>226279.0</v>
      </c>
      <c r="D232" s="47" t="str">
        <f>VLOOKUP(C232,'Equalização'!E:J,6,0)</f>
        <v>#N/A</v>
      </c>
      <c r="J232" s="31" t="s">
        <v>366</v>
      </c>
    </row>
    <row r="233" ht="15.75" customHeight="1">
      <c r="C233" s="47">
        <v>207809.0</v>
      </c>
      <c r="D233" s="47" t="str">
        <f>VLOOKUP(C233,'Equalização'!E:J,6,0)</f>
        <v>#N/A</v>
      </c>
      <c r="J233" s="31" t="s">
        <v>367</v>
      </c>
    </row>
    <row r="234" ht="15.75" customHeight="1">
      <c r="C234" s="47">
        <v>225632.0</v>
      </c>
      <c r="D234" s="47" t="str">
        <f>VLOOKUP(C234,'Equalização'!E:J,6,0)</f>
        <v>#N/A</v>
      </c>
      <c r="J234" s="31" t="s">
        <v>368</v>
      </c>
    </row>
    <row r="235" ht="15.75" customHeight="1">
      <c r="C235" s="47">
        <v>206097.0</v>
      </c>
      <c r="D235" s="47" t="str">
        <f>VLOOKUP(C235,'Equalização'!E:J,6,0)</f>
        <v>#N/A</v>
      </c>
      <c r="J235" s="31" t="s">
        <v>369</v>
      </c>
    </row>
    <row r="236" ht="15.75" customHeight="1">
      <c r="C236" s="47">
        <v>166310.0</v>
      </c>
      <c r="D236" s="47" t="str">
        <f>VLOOKUP(C236,'Equalização'!E:J,6,0)</f>
        <v>#N/A</v>
      </c>
      <c r="J236" s="31" t="s">
        <v>370</v>
      </c>
    </row>
    <row r="237" ht="15.75" customHeight="1">
      <c r="C237" s="47">
        <v>223359.0</v>
      </c>
      <c r="D237" s="47" t="str">
        <f>VLOOKUP(C237,'Equalização'!E:J,6,0)</f>
        <v>#N/A</v>
      </c>
      <c r="J237" s="31" t="s">
        <v>371</v>
      </c>
    </row>
    <row r="238" ht="15.75" customHeight="1">
      <c r="C238" s="47">
        <v>223673.0</v>
      </c>
      <c r="D238" s="47" t="str">
        <f>VLOOKUP(C238,'Equalização'!E:J,6,0)</f>
        <v>#N/A</v>
      </c>
      <c r="J238" s="31" t="s">
        <v>372</v>
      </c>
    </row>
    <row r="239" ht="15.75" customHeight="1">
      <c r="C239" s="47">
        <v>211139.0</v>
      </c>
      <c r="D239" s="47" t="str">
        <f>VLOOKUP(C239,'Equalização'!E:J,6,0)</f>
        <v>#N/A</v>
      </c>
      <c r="J239" s="31" t="s">
        <v>373</v>
      </c>
    </row>
    <row r="240" ht="15.75" customHeight="1">
      <c r="C240" s="47">
        <v>230870.0</v>
      </c>
      <c r="D240" s="47" t="str">
        <f>VLOOKUP(C240,'Equalização'!E:J,6,0)</f>
        <v>#N/A</v>
      </c>
      <c r="J240" s="31" t="s">
        <v>374</v>
      </c>
    </row>
    <row r="241" ht="15.75" customHeight="1">
      <c r="C241" s="47">
        <v>213041.0</v>
      </c>
      <c r="D241" s="47" t="str">
        <f>VLOOKUP(C241,'Equalização'!E:J,6,0)</f>
        <v>#N/A</v>
      </c>
      <c r="J241" s="31" t="s">
        <v>375</v>
      </c>
    </row>
    <row r="242" ht="15.75" customHeight="1">
      <c r="C242" s="47">
        <v>230362.0</v>
      </c>
      <c r="D242" s="47" t="str">
        <f>VLOOKUP(C242,'Equalização'!E:J,6,0)</f>
        <v>#N/A</v>
      </c>
      <c r="J242" s="31" t="s">
        <v>376</v>
      </c>
    </row>
    <row r="243" ht="15.75" customHeight="1">
      <c r="C243" s="47">
        <v>225635.0</v>
      </c>
      <c r="D243" s="47" t="str">
        <f>VLOOKUP(C243,'Equalização'!E:J,6,0)</f>
        <v>#N/A</v>
      </c>
      <c r="J243" s="31" t="s">
        <v>377</v>
      </c>
    </row>
    <row r="244" ht="15.75" customHeight="1">
      <c r="C244" s="47">
        <v>238437.0</v>
      </c>
      <c r="D244" s="47" t="str">
        <f>VLOOKUP(C244,'Equalização'!E:J,6,0)</f>
        <v>#N/A</v>
      </c>
      <c r="J244" s="31" t="s">
        <v>378</v>
      </c>
    </row>
    <row r="245" ht="15.75" customHeight="1">
      <c r="C245" s="47">
        <v>225898.0</v>
      </c>
      <c r="D245" s="47" t="str">
        <f>VLOOKUP(C245,'Equalização'!E:J,6,0)</f>
        <v>#N/A</v>
      </c>
      <c r="J245" s="31" t="s">
        <v>379</v>
      </c>
    </row>
    <row r="246" ht="15.75" customHeight="1">
      <c r="C246" s="47">
        <v>205821.0</v>
      </c>
      <c r="D246" s="47" t="str">
        <f>VLOOKUP(C246,'Equalização'!E:J,6,0)</f>
        <v>#N/A</v>
      </c>
      <c r="J246" s="31" t="s">
        <v>380</v>
      </c>
    </row>
    <row r="247" ht="15.75" customHeight="1">
      <c r="C247" s="47">
        <v>213147.0</v>
      </c>
      <c r="D247" s="47" t="str">
        <f>VLOOKUP(C247,'Equalização'!E:J,6,0)</f>
        <v>#N/A</v>
      </c>
      <c r="J247" s="31" t="s">
        <v>381</v>
      </c>
    </row>
    <row r="248" ht="15.75" customHeight="1">
      <c r="C248" s="47">
        <v>223353.0</v>
      </c>
      <c r="D248" s="47" t="str">
        <f>VLOOKUP(C248,'Equalização'!E:J,6,0)</f>
        <v>#N/A</v>
      </c>
      <c r="J248" s="31" t="s">
        <v>382</v>
      </c>
    </row>
    <row r="249" ht="15.75" customHeight="1">
      <c r="C249" s="47">
        <v>214064.0</v>
      </c>
      <c r="D249" s="47" t="str">
        <f>VLOOKUP(C249,'Equalização'!E:J,6,0)</f>
        <v>#N/A</v>
      </c>
      <c r="J249" s="31" t="s">
        <v>383</v>
      </c>
    </row>
    <row r="250" ht="15.75" customHeight="1">
      <c r="C250" s="47">
        <v>220495.0</v>
      </c>
      <c r="D250" s="47" t="str">
        <f>VLOOKUP(C250,'Equalização'!E:J,6,0)</f>
        <v>#N/A</v>
      </c>
      <c r="J250" s="31" t="s">
        <v>384</v>
      </c>
    </row>
    <row r="251" ht="15.75" customHeight="1">
      <c r="C251" s="47">
        <v>225608.0</v>
      </c>
      <c r="D251" s="47" t="str">
        <f>VLOOKUP(C251,'Equalização'!E:J,6,0)</f>
        <v>#N/A</v>
      </c>
      <c r="J251" s="31" t="s">
        <v>385</v>
      </c>
    </row>
    <row r="252" ht="15.75" customHeight="1">
      <c r="C252" s="47">
        <v>225711.0</v>
      </c>
      <c r="D252" s="47" t="str">
        <f>VLOOKUP(C252,'Equalização'!E:J,6,0)</f>
        <v>#N/A</v>
      </c>
      <c r="J252" s="31" t="s">
        <v>386</v>
      </c>
    </row>
    <row r="253" ht="15.75" customHeight="1">
      <c r="C253" s="47">
        <v>213520.0</v>
      </c>
      <c r="D253" s="47" t="str">
        <f>VLOOKUP(C253,'Equalização'!E:J,6,0)</f>
        <v>#N/A</v>
      </c>
      <c r="J253" s="31" t="s">
        <v>387</v>
      </c>
    </row>
    <row r="254" ht="15.75" customHeight="1">
      <c r="C254" s="47">
        <v>227553.0</v>
      </c>
      <c r="D254" s="47" t="str">
        <f>VLOOKUP(C254,'Equalização'!E:J,6,0)</f>
        <v>#N/A</v>
      </c>
      <c r="J254" s="31" t="s">
        <v>388</v>
      </c>
    </row>
    <row r="255" ht="15.75" customHeight="1">
      <c r="C255" s="47">
        <v>225687.0</v>
      </c>
      <c r="D255" s="47" t="str">
        <f>VLOOKUP(C255,'Equalização'!E:J,6,0)</f>
        <v>#N/A</v>
      </c>
      <c r="J255" s="31" t="s">
        <v>389</v>
      </c>
    </row>
    <row r="256" ht="15.75" customHeight="1">
      <c r="C256" s="47">
        <v>206053.0</v>
      </c>
      <c r="D256" s="47" t="str">
        <f>VLOOKUP(C256,'Equalização'!E:J,6,0)</f>
        <v>#N/A</v>
      </c>
      <c r="J256" s="31" t="s">
        <v>390</v>
      </c>
    </row>
    <row r="257" ht="15.75" customHeight="1">
      <c r="C257" s="47">
        <v>207178.0</v>
      </c>
      <c r="D257" s="47" t="str">
        <f>VLOOKUP(C257,'Equalização'!E:J,6,0)</f>
        <v>#N/A</v>
      </c>
      <c r="J257" s="31" t="s">
        <v>391</v>
      </c>
    </row>
    <row r="258" ht="15.75" customHeight="1">
      <c r="C258" s="47">
        <v>207177.0</v>
      </c>
      <c r="D258" s="47" t="str">
        <f>VLOOKUP(C258,'Equalização'!E:J,6,0)</f>
        <v>#N/A</v>
      </c>
      <c r="J258" s="31" t="s">
        <v>392</v>
      </c>
    </row>
    <row r="259" ht="15.75" customHeight="1">
      <c r="C259" s="47">
        <v>223647.0</v>
      </c>
      <c r="D259" s="47" t="str">
        <f>VLOOKUP(C259,'Equalização'!E:J,6,0)</f>
        <v>#N/A</v>
      </c>
      <c r="J259" s="31" t="s">
        <v>393</v>
      </c>
    </row>
    <row r="260" ht="15.75" customHeight="1">
      <c r="C260" s="47">
        <v>206066.0</v>
      </c>
      <c r="D260" s="47" t="str">
        <f>VLOOKUP(C260,'Equalização'!E:J,6,0)</f>
        <v>#N/A</v>
      </c>
      <c r="J260" s="31" t="s">
        <v>394</v>
      </c>
    </row>
    <row r="261" ht="15.75" customHeight="1">
      <c r="C261" s="47">
        <v>226176.0</v>
      </c>
      <c r="D261" s="47" t="str">
        <f>VLOOKUP(C261,'Equalização'!E:J,6,0)</f>
        <v>#N/A</v>
      </c>
      <c r="J261" s="31" t="s">
        <v>395</v>
      </c>
    </row>
    <row r="262" ht="15.75" customHeight="1">
      <c r="C262" s="47">
        <v>211798.0</v>
      </c>
      <c r="D262" s="47" t="str">
        <f>VLOOKUP(C262,'Equalização'!E:J,6,0)</f>
        <v>#N/A</v>
      </c>
      <c r="J262" s="31" t="s">
        <v>396</v>
      </c>
    </row>
    <row r="263" ht="15.75" customHeight="1">
      <c r="C263" s="47">
        <v>225663.0</v>
      </c>
      <c r="D263" s="47" t="str">
        <f>VLOOKUP(C263,'Equalização'!E:J,6,0)</f>
        <v>#N/A</v>
      </c>
      <c r="J263" s="31" t="s">
        <v>397</v>
      </c>
    </row>
    <row r="264" ht="15.75" customHeight="1">
      <c r="C264" s="47">
        <v>208421.0</v>
      </c>
      <c r="D264" s="47" t="str">
        <f>VLOOKUP(C264,'Equalização'!E:J,6,0)</f>
        <v>#N/A</v>
      </c>
      <c r="J264" s="31" t="s">
        <v>398</v>
      </c>
    </row>
    <row r="265" ht="15.75" customHeight="1">
      <c r="C265" s="47">
        <v>119540.0</v>
      </c>
      <c r="D265" s="47" t="str">
        <f>VLOOKUP(C265,'Equalização'!E:J,6,0)</f>
        <v>#N/A</v>
      </c>
      <c r="J265" s="31" t="s">
        <v>399</v>
      </c>
    </row>
    <row r="266" ht="15.75" customHeight="1">
      <c r="C266" s="47">
        <v>225712.0</v>
      </c>
      <c r="D266" s="47" t="str">
        <f>VLOOKUP(C266,'Equalização'!E:J,6,0)</f>
        <v>#N/A</v>
      </c>
      <c r="J266" s="31" t="s">
        <v>400</v>
      </c>
    </row>
    <row r="267" ht="15.75" customHeight="1">
      <c r="C267" s="47">
        <v>206063.0</v>
      </c>
      <c r="D267" s="47" t="str">
        <f>VLOOKUP(C267,'Equalização'!E:J,6,0)</f>
        <v>#N/A</v>
      </c>
      <c r="J267" s="31" t="s">
        <v>401</v>
      </c>
    </row>
    <row r="268" ht="15.75" customHeight="1">
      <c r="C268" s="47">
        <v>225691.0</v>
      </c>
      <c r="D268" s="47" t="str">
        <f>VLOOKUP(C268,'Equalização'!E:J,6,0)</f>
        <v>#N/A</v>
      </c>
      <c r="J268" s="31" t="s">
        <v>402</v>
      </c>
    </row>
    <row r="269" ht="15.75" customHeight="1">
      <c r="C269" s="47">
        <v>207234.0</v>
      </c>
      <c r="D269" s="47" t="str">
        <f>VLOOKUP(C269,'Equalização'!E:J,6,0)</f>
        <v>#N/A</v>
      </c>
      <c r="J269" s="31" t="s">
        <v>403</v>
      </c>
    </row>
    <row r="270" ht="15.75" customHeight="1">
      <c r="C270" s="47">
        <v>119960.0</v>
      </c>
      <c r="D270" s="47" t="str">
        <f>VLOOKUP(C270,'Equalização'!E:J,6,0)</f>
        <v>#N/A</v>
      </c>
      <c r="J270" s="31" t="s">
        <v>404</v>
      </c>
    </row>
    <row r="271" ht="15.75" customHeight="1">
      <c r="C271" s="47">
        <v>225633.0</v>
      </c>
      <c r="D271" s="47" t="str">
        <f>VLOOKUP(C271,'Equalização'!E:J,6,0)</f>
        <v>#N/A</v>
      </c>
      <c r="J271" s="31" t="s">
        <v>405</v>
      </c>
    </row>
    <row r="272" ht="15.75" customHeight="1">
      <c r="C272" s="47">
        <v>207228.0</v>
      </c>
      <c r="D272" s="47" t="str">
        <f>VLOOKUP(C272,'Equalização'!E:J,6,0)</f>
        <v>#N/A</v>
      </c>
      <c r="J272" s="31" t="s">
        <v>406</v>
      </c>
    </row>
    <row r="273" ht="15.75" customHeight="1">
      <c r="C273" s="47">
        <v>225573.0</v>
      </c>
      <c r="D273" s="47" t="str">
        <f>VLOOKUP(C273,'Equalização'!E:J,6,0)</f>
        <v>#N/A</v>
      </c>
      <c r="J273" s="31" t="s">
        <v>407</v>
      </c>
    </row>
    <row r="274" ht="15.75" customHeight="1">
      <c r="C274" s="47">
        <v>225595.0</v>
      </c>
      <c r="D274" s="47" t="str">
        <f>VLOOKUP(C274,'Equalização'!E:J,6,0)</f>
        <v>#N/A</v>
      </c>
      <c r="J274" s="31" t="s">
        <v>408</v>
      </c>
    </row>
    <row r="275" ht="15.75" customHeight="1">
      <c r="C275" s="47">
        <v>225694.0</v>
      </c>
      <c r="D275" s="47" t="str">
        <f>VLOOKUP(C275,'Equalização'!E:J,6,0)</f>
        <v>#N/A</v>
      </c>
      <c r="J275" s="31" t="s">
        <v>409</v>
      </c>
    </row>
    <row r="276" ht="15.75" customHeight="1">
      <c r="C276" s="47">
        <v>213536.0</v>
      </c>
      <c r="D276" s="47" t="str">
        <f>VLOOKUP(C276,'Equalização'!E:J,6,0)</f>
        <v>#N/A</v>
      </c>
      <c r="J276" s="31" t="s">
        <v>410</v>
      </c>
    </row>
    <row r="277" ht="15.75" customHeight="1">
      <c r="C277" s="47">
        <v>217077.0</v>
      </c>
      <c r="D277" s="47" t="str">
        <f>VLOOKUP(C277,'Equalização'!E:J,6,0)</f>
        <v>#N/A</v>
      </c>
      <c r="J277" s="31" t="s">
        <v>411</v>
      </c>
    </row>
    <row r="278" ht="15.75" customHeight="1">
      <c r="C278" s="47">
        <v>215695.0</v>
      </c>
      <c r="D278" s="47" t="str">
        <f>VLOOKUP(C278,'Equalização'!E:J,6,0)</f>
        <v>#N/A</v>
      </c>
      <c r="J278" s="31" t="s">
        <v>412</v>
      </c>
    </row>
    <row r="279" ht="15.75" customHeight="1">
      <c r="C279" s="47">
        <v>207845.0</v>
      </c>
      <c r="D279" s="47" t="str">
        <f>VLOOKUP(C279,'Equalização'!E:J,6,0)</f>
        <v>#N/A</v>
      </c>
      <c r="J279" s="31" t="s">
        <v>413</v>
      </c>
    </row>
    <row r="280" ht="15.75" customHeight="1">
      <c r="C280" s="47">
        <v>225566.0</v>
      </c>
      <c r="D280" s="47" t="str">
        <f>VLOOKUP(C280,'Equalização'!E:J,6,0)</f>
        <v>#N/A</v>
      </c>
      <c r="J280" s="31" t="s">
        <v>414</v>
      </c>
    </row>
    <row r="281" ht="15.75" customHeight="1">
      <c r="C281" s="47">
        <v>206052.0</v>
      </c>
      <c r="D281" s="47" t="str">
        <f>VLOOKUP(C281,'Equalização'!E:J,6,0)</f>
        <v>#N/A</v>
      </c>
      <c r="J281" s="31" t="s">
        <v>415</v>
      </c>
    </row>
    <row r="282" ht="15.75" customHeight="1">
      <c r="C282" s="47">
        <v>226188.0</v>
      </c>
      <c r="D282" s="47" t="str">
        <f>VLOOKUP(C282,'Equalização'!E:J,6,0)</f>
        <v>#N/A</v>
      </c>
      <c r="J282" s="31" t="s">
        <v>416</v>
      </c>
    </row>
    <row r="283" ht="15.75" customHeight="1">
      <c r="C283" s="47">
        <v>211715.0</v>
      </c>
      <c r="D283" s="47" t="str">
        <f>VLOOKUP(C283,'Equalização'!E:J,6,0)</f>
        <v>#N/A</v>
      </c>
      <c r="J283" s="31" t="s">
        <v>417</v>
      </c>
    </row>
    <row r="284" ht="15.75" customHeight="1">
      <c r="C284" s="47">
        <v>230890.0</v>
      </c>
      <c r="D284" s="47" t="str">
        <f>VLOOKUP(C284,'Equalização'!E:J,6,0)</f>
        <v>#N/A</v>
      </c>
      <c r="J284" s="31" t="s">
        <v>418</v>
      </c>
    </row>
    <row r="285" ht="15.75" customHeight="1">
      <c r="C285" s="47">
        <v>206054.0</v>
      </c>
      <c r="D285" s="47" t="str">
        <f>VLOOKUP(C285,'Equalização'!E:J,6,0)</f>
        <v>#N/A</v>
      </c>
      <c r="J285" s="31" t="s">
        <v>419</v>
      </c>
    </row>
    <row r="286" ht="15.75" customHeight="1">
      <c r="C286" s="47">
        <v>225583.0</v>
      </c>
      <c r="D286" s="47" t="str">
        <f>VLOOKUP(C286,'Equalização'!E:J,6,0)</f>
        <v>#N/A</v>
      </c>
      <c r="J286" s="31" t="s">
        <v>420</v>
      </c>
    </row>
    <row r="287" ht="15.75" customHeight="1">
      <c r="C287" s="47">
        <v>207204.0</v>
      </c>
      <c r="D287" s="47" t="str">
        <f>VLOOKUP(C287,'Equalização'!E:J,6,0)</f>
        <v>#N/A</v>
      </c>
      <c r="J287" s="31" t="s">
        <v>421</v>
      </c>
    </row>
    <row r="288" ht="15.75" customHeight="1">
      <c r="C288" s="47">
        <v>154205.0</v>
      </c>
      <c r="D288" s="47" t="str">
        <f>VLOOKUP(C288,'Equalização'!E:J,6,0)</f>
        <v>#N/A</v>
      </c>
      <c r="J288" s="31" t="s">
        <v>422</v>
      </c>
    </row>
    <row r="289" ht="15.75" customHeight="1">
      <c r="C289" s="47">
        <v>230741.0</v>
      </c>
      <c r="D289" s="47" t="str">
        <f>VLOOKUP(C289,'Equalização'!E:J,6,0)</f>
        <v>#N/A</v>
      </c>
      <c r="J289" s="31" t="s">
        <v>423</v>
      </c>
    </row>
    <row r="290" ht="15.75" customHeight="1">
      <c r="C290" s="47">
        <v>226237.0</v>
      </c>
      <c r="D290" s="47" t="str">
        <f>VLOOKUP(C290,'Equalização'!E:J,6,0)</f>
        <v>#N/A</v>
      </c>
      <c r="J290" s="31" t="s">
        <v>424</v>
      </c>
    </row>
    <row r="291" ht="15.75" customHeight="1">
      <c r="C291" s="47">
        <v>206006.0</v>
      </c>
      <c r="D291" s="47" t="str">
        <f>VLOOKUP(C291,'Equalização'!E:J,6,0)</f>
        <v>#N/A</v>
      </c>
      <c r="J291" s="31" t="s">
        <v>425</v>
      </c>
    </row>
    <row r="292" ht="15.75" customHeight="1">
      <c r="C292" s="47">
        <v>213231.0</v>
      </c>
      <c r="D292" s="47" t="str">
        <f>VLOOKUP(C292,'Equalização'!E:J,6,0)</f>
        <v>#N/A</v>
      </c>
      <c r="J292" s="31" t="s">
        <v>426</v>
      </c>
    </row>
    <row r="293" ht="15.75" customHeight="1">
      <c r="C293" s="47">
        <v>214068.0</v>
      </c>
      <c r="D293" s="47" t="str">
        <f>VLOOKUP(C293,'Equalização'!E:J,6,0)</f>
        <v>#N/A</v>
      </c>
      <c r="J293" s="31" t="s">
        <v>427</v>
      </c>
    </row>
    <row r="294" ht="15.75" customHeight="1">
      <c r="C294" s="47">
        <v>51004.0</v>
      </c>
      <c r="D294" s="47" t="str">
        <f>VLOOKUP(C294,'Equalização'!E:J,6,0)</f>
        <v>#N/A</v>
      </c>
      <c r="J294" s="31" t="s">
        <v>428</v>
      </c>
    </row>
    <row r="295" ht="15.75" customHeight="1">
      <c r="C295" s="47">
        <v>207762.0</v>
      </c>
      <c r="D295" s="47" t="str">
        <f>VLOOKUP(C295,'Equalização'!E:J,6,0)</f>
        <v>#N/A</v>
      </c>
      <c r="J295" s="31" t="s">
        <v>429</v>
      </c>
    </row>
    <row r="296" ht="15.75" customHeight="1">
      <c r="C296" s="47">
        <v>225646.0</v>
      </c>
      <c r="D296" s="47" t="str">
        <f>VLOOKUP(C296,'Equalização'!E:J,6,0)</f>
        <v>#N/A</v>
      </c>
      <c r="J296" s="31" t="s">
        <v>430</v>
      </c>
    </row>
    <row r="297" ht="15.75" customHeight="1">
      <c r="C297" s="47">
        <v>204747.0</v>
      </c>
      <c r="D297" s="47" t="str">
        <f>VLOOKUP(C297,'Equalização'!E:J,6,0)</f>
        <v>#N/A</v>
      </c>
      <c r="J297" s="31" t="s">
        <v>431</v>
      </c>
    </row>
    <row r="298" ht="15.75" customHeight="1">
      <c r="C298" s="47">
        <v>210585.0</v>
      </c>
      <c r="D298" s="47" t="str">
        <f>VLOOKUP(C298,'Equalização'!E:J,6,0)</f>
        <v>#N/A</v>
      </c>
      <c r="J298" s="31" t="s">
        <v>432</v>
      </c>
    </row>
    <row r="299" ht="15.75" customHeight="1">
      <c r="C299" s="47">
        <v>221099.0</v>
      </c>
      <c r="D299" s="47" t="str">
        <f>VLOOKUP(C299,'Equalização'!E:J,6,0)</f>
        <v>#N/A</v>
      </c>
      <c r="J299" s="31" t="s">
        <v>433</v>
      </c>
    </row>
    <row r="300" ht="15.75" customHeight="1">
      <c r="C300" s="47">
        <v>238430.0</v>
      </c>
      <c r="D300" s="47" t="str">
        <f>VLOOKUP(C300,'Equalização'!E:J,6,0)</f>
        <v>#N/A</v>
      </c>
      <c r="J300" s="31" t="s">
        <v>434</v>
      </c>
    </row>
    <row r="301" ht="15.75" customHeight="1">
      <c r="C301" s="47">
        <v>226179.0</v>
      </c>
      <c r="D301" s="47" t="str">
        <f>VLOOKUP(C301,'Equalização'!E:J,6,0)</f>
        <v>#N/A</v>
      </c>
      <c r="J301" s="31" t="s">
        <v>435</v>
      </c>
    </row>
    <row r="302" ht="15.75" customHeight="1">
      <c r="C302" s="47">
        <v>138285.0</v>
      </c>
      <c r="D302" s="47" t="str">
        <f>VLOOKUP(C302,'Equalização'!E:J,6,0)</f>
        <v>#N/A</v>
      </c>
      <c r="J302" s="31" t="s">
        <v>436</v>
      </c>
    </row>
    <row r="303" ht="15.75" customHeight="1">
      <c r="C303" s="47">
        <v>225631.0</v>
      </c>
      <c r="D303" s="47" t="str">
        <f>VLOOKUP(C303,'Equalização'!E:J,6,0)</f>
        <v>#N/A</v>
      </c>
      <c r="J303" s="31" t="s">
        <v>437</v>
      </c>
    </row>
    <row r="304" ht="15.75" customHeight="1">
      <c r="C304" s="47">
        <v>238424.0</v>
      </c>
      <c r="D304" s="47" t="str">
        <f>VLOOKUP(C304,'Equalização'!E:J,6,0)</f>
        <v>#N/A</v>
      </c>
      <c r="J304" s="31" t="s">
        <v>438</v>
      </c>
    </row>
    <row r="305" ht="15.75" customHeight="1">
      <c r="C305" s="47">
        <v>206057.0</v>
      </c>
      <c r="D305" s="47" t="str">
        <f>VLOOKUP(C305,'Equalização'!E:J,6,0)</f>
        <v>#N/A</v>
      </c>
      <c r="J305" s="31" t="s">
        <v>439</v>
      </c>
    </row>
    <row r="306" ht="15.75" customHeight="1">
      <c r="C306" s="47">
        <v>84948.0</v>
      </c>
      <c r="D306" s="47" t="str">
        <f>VLOOKUP(C306,'Equalização'!E:J,6,0)</f>
        <v>#N/A</v>
      </c>
      <c r="J306" s="31" t="s">
        <v>440</v>
      </c>
    </row>
    <row r="307" ht="15.75" customHeight="1">
      <c r="C307" s="47">
        <v>208016.0</v>
      </c>
      <c r="D307" s="47" t="str">
        <f>VLOOKUP(C307,'Equalização'!E:J,6,0)</f>
        <v>#N/A</v>
      </c>
      <c r="J307" s="31" t="s">
        <v>441</v>
      </c>
    </row>
    <row r="308" ht="15.75" customHeight="1">
      <c r="C308" s="47">
        <v>208019.0</v>
      </c>
      <c r="D308" s="47" t="str">
        <f>VLOOKUP(C308,'Equalização'!E:J,6,0)</f>
        <v>#N/A</v>
      </c>
      <c r="J308" s="31" t="s">
        <v>442</v>
      </c>
    </row>
    <row r="309" ht="15.75" customHeight="1">
      <c r="C309" s="47">
        <v>207227.0</v>
      </c>
      <c r="D309" s="47" t="str">
        <f>VLOOKUP(C309,'Equalização'!E:J,6,0)</f>
        <v>#N/A</v>
      </c>
      <c r="J309" s="31" t="s">
        <v>443</v>
      </c>
    </row>
    <row r="310" ht="15.75" customHeight="1">
      <c r="C310" s="47">
        <v>226178.0</v>
      </c>
      <c r="D310" s="47" t="str">
        <f>VLOOKUP(C310,'Equalização'!E:J,6,0)</f>
        <v>#N/A</v>
      </c>
      <c r="J310" s="31" t="s">
        <v>444</v>
      </c>
    </row>
    <row r="311" ht="15.75" customHeight="1">
      <c r="C311" s="47">
        <v>206025.0</v>
      </c>
      <c r="D311" s="47" t="str">
        <f>VLOOKUP(C311,'Equalização'!E:J,6,0)</f>
        <v>#N/A</v>
      </c>
      <c r="J311" s="31" t="s">
        <v>445</v>
      </c>
    </row>
    <row r="312" ht="15.75" customHeight="1">
      <c r="C312" s="47">
        <v>219902.0</v>
      </c>
      <c r="D312" s="47" t="str">
        <f>VLOOKUP(C312,'Equalização'!E:J,6,0)</f>
        <v>#N/A</v>
      </c>
      <c r="J312" s="31" t="s">
        <v>446</v>
      </c>
    </row>
    <row r="313" ht="15.75" customHeight="1">
      <c r="C313" s="47">
        <v>205923.0</v>
      </c>
      <c r="D313" s="47" t="str">
        <f>VLOOKUP(C313,'Equalização'!E:J,6,0)</f>
        <v>#N/A</v>
      </c>
      <c r="J313" s="31" t="s">
        <v>447</v>
      </c>
    </row>
    <row r="314" ht="15.75" customHeight="1">
      <c r="C314" s="47">
        <v>213107.0</v>
      </c>
      <c r="D314" s="47" t="str">
        <f>VLOOKUP(C314,'Equalização'!E:J,6,0)</f>
        <v>#N/A</v>
      </c>
      <c r="J314" s="31" t="s">
        <v>448</v>
      </c>
    </row>
    <row r="315" ht="15.75" customHeight="1">
      <c r="C315" s="47">
        <v>214067.0</v>
      </c>
      <c r="D315" s="47" t="str">
        <f>VLOOKUP(C315,'Equalização'!E:J,6,0)</f>
        <v>#N/A</v>
      </c>
      <c r="J315" s="31" t="s">
        <v>449</v>
      </c>
    </row>
    <row r="316" ht="15.75" customHeight="1">
      <c r="C316" s="47">
        <v>225729.0</v>
      </c>
      <c r="D316" s="47" t="str">
        <f>VLOOKUP(C316,'Equalização'!E:J,6,0)</f>
        <v>#N/A</v>
      </c>
      <c r="J316" s="31" t="s">
        <v>450</v>
      </c>
    </row>
    <row r="317" ht="15.75" customHeight="1">
      <c r="C317" s="47">
        <v>205820.0</v>
      </c>
      <c r="D317" s="47" t="str">
        <f>VLOOKUP(C317,'Equalização'!E:J,6,0)</f>
        <v>#N/A</v>
      </c>
      <c r="J317" s="31" t="s">
        <v>451</v>
      </c>
    </row>
    <row r="318" ht="15.75" customHeight="1">
      <c r="C318" s="47">
        <v>207852.0</v>
      </c>
      <c r="D318" s="47" t="str">
        <f>VLOOKUP(C318,'Equalização'!E:J,6,0)</f>
        <v>#N/A</v>
      </c>
      <c r="J318" s="31" t="s">
        <v>452</v>
      </c>
    </row>
    <row r="319" ht="15.75" customHeight="1">
      <c r="C319" s="47">
        <v>211547.0</v>
      </c>
      <c r="D319" s="47" t="str">
        <f>VLOOKUP(C319,'Equalização'!E:J,6,0)</f>
        <v>#N/A</v>
      </c>
      <c r="J319" s="31" t="s">
        <v>453</v>
      </c>
    </row>
    <row r="320" ht="15.75" customHeight="1">
      <c r="C320" s="47">
        <v>218909.0</v>
      </c>
      <c r="D320" s="47" t="str">
        <f>VLOOKUP(C320,'Equalização'!E:J,6,0)</f>
        <v>#N/A</v>
      </c>
      <c r="J320" s="31" t="s">
        <v>454</v>
      </c>
    </row>
    <row r="321" ht="15.75" customHeight="1">
      <c r="C321" s="47">
        <v>166251.0</v>
      </c>
      <c r="D321" s="47" t="str">
        <f>VLOOKUP(C321,'Equalização'!E:J,6,0)</f>
        <v>#N/A</v>
      </c>
      <c r="J321" s="31" t="s">
        <v>455</v>
      </c>
    </row>
    <row r="322" ht="15.75" customHeight="1">
      <c r="C322" s="47">
        <v>205937.0</v>
      </c>
      <c r="D322" s="47" t="str">
        <f>VLOOKUP(C322,'Equalização'!E:J,6,0)</f>
        <v>#N/A</v>
      </c>
      <c r="J322" s="31" t="s">
        <v>456</v>
      </c>
    </row>
    <row r="323" ht="15.75" customHeight="1">
      <c r="C323" s="47">
        <v>57150.0</v>
      </c>
      <c r="D323" s="47" t="str">
        <f>VLOOKUP(C323,'Equalização'!E:J,6,0)</f>
        <v>#N/A</v>
      </c>
      <c r="J323" s="31" t="s">
        <v>457</v>
      </c>
    </row>
    <row r="324" ht="15.75" customHeight="1">
      <c r="C324" s="47">
        <v>152991.0</v>
      </c>
      <c r="D324" s="47" t="str">
        <f>VLOOKUP(C324,'Equalização'!E:J,6,0)</f>
        <v>#N/A</v>
      </c>
      <c r="J324" s="31" t="s">
        <v>458</v>
      </c>
    </row>
    <row r="325" ht="15.75" customHeight="1">
      <c r="C325" s="47">
        <v>207849.0</v>
      </c>
      <c r="D325" s="47" t="str">
        <f>VLOOKUP(C325,'Equalização'!E:J,6,0)</f>
        <v>#N/A</v>
      </c>
      <c r="J325" s="31" t="s">
        <v>459</v>
      </c>
    </row>
    <row r="326" ht="15.75" customHeight="1">
      <c r="C326" s="47">
        <v>210842.0</v>
      </c>
      <c r="D326" s="47" t="str">
        <f>VLOOKUP(C326,'Equalização'!E:J,6,0)</f>
        <v>#N/A</v>
      </c>
      <c r="J326" s="31" t="s">
        <v>460</v>
      </c>
    </row>
    <row r="327" ht="15.75" customHeight="1">
      <c r="C327" s="47">
        <v>204698.0</v>
      </c>
      <c r="D327" s="47" t="str">
        <f>VLOOKUP(C327,'Equalização'!E:J,6,0)</f>
        <v>#N/A</v>
      </c>
      <c r="J327" s="31" t="s">
        <v>461</v>
      </c>
    </row>
    <row r="328" ht="15.75" customHeight="1">
      <c r="C328" s="47">
        <v>206086.0</v>
      </c>
      <c r="D328" s="47" t="str">
        <f>VLOOKUP(C328,'Equalização'!E:J,6,0)</f>
        <v>#N/A</v>
      </c>
      <c r="J328" s="31" t="s">
        <v>462</v>
      </c>
    </row>
    <row r="329" ht="15.75" customHeight="1">
      <c r="C329" s="47">
        <v>225589.0</v>
      </c>
      <c r="D329" s="47" t="str">
        <f>VLOOKUP(C329,'Equalização'!E:J,6,0)</f>
        <v>#N/A</v>
      </c>
      <c r="J329" s="31" t="s">
        <v>463</v>
      </c>
    </row>
    <row r="330" ht="15.75" customHeight="1">
      <c r="C330" s="47">
        <v>225979.0</v>
      </c>
      <c r="D330" s="47" t="str">
        <f>VLOOKUP(C330,'Equalização'!E:J,6,0)</f>
        <v>#N/A</v>
      </c>
      <c r="J330" s="31" t="s">
        <v>464</v>
      </c>
    </row>
    <row r="331" ht="15.75" customHeight="1">
      <c r="C331" s="47">
        <v>206036.0</v>
      </c>
      <c r="D331" s="47" t="str">
        <f>VLOOKUP(C331,'Equalização'!E:J,6,0)</f>
        <v>#N/A</v>
      </c>
      <c r="J331" s="31" t="s">
        <v>465</v>
      </c>
    </row>
    <row r="332" ht="15.75" customHeight="1">
      <c r="C332" s="47">
        <v>208020.0</v>
      </c>
      <c r="D332" s="47" t="str">
        <f>VLOOKUP(C332,'Equalização'!E:J,6,0)</f>
        <v>#N/A</v>
      </c>
      <c r="J332" s="31" t="s">
        <v>466</v>
      </c>
    </row>
    <row r="333" ht="15.75" customHeight="1">
      <c r="C333" s="47">
        <v>206041.0</v>
      </c>
      <c r="D333" s="47" t="str">
        <f>VLOOKUP(C333,'Equalização'!E:J,6,0)</f>
        <v>#N/A</v>
      </c>
      <c r="J333" s="31" t="s">
        <v>467</v>
      </c>
    </row>
    <row r="334" ht="15.75" customHeight="1">
      <c r="C334" s="47">
        <v>220499.0</v>
      </c>
      <c r="D334" s="47" t="str">
        <f>VLOOKUP(C334,'Equalização'!E:J,6,0)</f>
        <v>#N/A</v>
      </c>
      <c r="J334" s="31" t="s">
        <v>468</v>
      </c>
    </row>
    <row r="335" ht="15.75" customHeight="1">
      <c r="C335" s="47">
        <v>225594.0</v>
      </c>
      <c r="D335" s="47" t="str">
        <f>VLOOKUP(C335,'Equalização'!E:J,6,0)</f>
        <v>#N/A</v>
      </c>
      <c r="J335" s="31" t="s">
        <v>469</v>
      </c>
    </row>
    <row r="336" ht="15.75" customHeight="1">
      <c r="C336" s="47">
        <v>225944.0</v>
      </c>
      <c r="D336" s="47" t="str">
        <f>VLOOKUP(C336,'Equalização'!E:J,6,0)</f>
        <v>#N/A</v>
      </c>
      <c r="J336" s="31" t="s">
        <v>470</v>
      </c>
    </row>
    <row r="337" ht="15.75" customHeight="1">
      <c r="C337" s="47">
        <v>182699.0</v>
      </c>
      <c r="D337" s="47" t="str">
        <f>VLOOKUP(C337,'Equalização'!E:J,6,0)</f>
        <v>#N/A</v>
      </c>
      <c r="J337" s="31" t="s">
        <v>471</v>
      </c>
    </row>
    <row r="338" ht="15.75" customHeight="1">
      <c r="C338" s="47">
        <v>207934.0</v>
      </c>
      <c r="D338" s="47" t="str">
        <f>VLOOKUP(C338,'Equalização'!E:J,6,0)</f>
        <v>#N/A</v>
      </c>
      <c r="J338" s="31" t="s">
        <v>472</v>
      </c>
    </row>
    <row r="339" ht="15.75" customHeight="1">
      <c r="C339" s="47">
        <v>225600.0</v>
      </c>
      <c r="D339" s="47" t="str">
        <f>VLOOKUP(C339,'Equalização'!E:J,6,0)</f>
        <v>#N/A</v>
      </c>
      <c r="J339" s="31" t="s">
        <v>473</v>
      </c>
    </row>
    <row r="340" ht="15.75" customHeight="1">
      <c r="C340" s="47">
        <v>225890.0</v>
      </c>
      <c r="D340" s="47" t="str">
        <f>VLOOKUP(C340,'Equalização'!E:J,6,0)</f>
        <v>#N/A</v>
      </c>
      <c r="J340" s="31" t="s">
        <v>474</v>
      </c>
    </row>
    <row r="341" ht="15.75" customHeight="1">
      <c r="C341" s="47">
        <v>204700.0</v>
      </c>
      <c r="D341" s="47" t="str">
        <f>VLOOKUP(C341,'Equalização'!E:J,6,0)</f>
        <v>#N/A</v>
      </c>
      <c r="J341" s="31" t="s">
        <v>475</v>
      </c>
    </row>
    <row r="342" ht="15.75" customHeight="1">
      <c r="C342" s="47">
        <v>223351.0</v>
      </c>
      <c r="D342" s="47" t="str">
        <f>VLOOKUP(C342,'Equalização'!E:J,6,0)</f>
        <v>#N/A</v>
      </c>
      <c r="J342" s="31" t="s">
        <v>476</v>
      </c>
    </row>
    <row r="343" ht="15.75" customHeight="1">
      <c r="C343" s="47">
        <v>213358.0</v>
      </c>
      <c r="D343" s="47" t="str">
        <f>VLOOKUP(C343,'Equalização'!E:J,6,0)</f>
        <v>#N/A</v>
      </c>
      <c r="J343" s="31" t="s">
        <v>477</v>
      </c>
    </row>
    <row r="344" ht="15.75" customHeight="1">
      <c r="C344" s="47">
        <v>213537.0</v>
      </c>
      <c r="D344" s="47" t="str">
        <f>VLOOKUP(C344,'Equalização'!E:J,6,0)</f>
        <v>#N/A</v>
      </c>
      <c r="J344" s="31" t="s">
        <v>478</v>
      </c>
    </row>
    <row r="345" ht="15.75" customHeight="1">
      <c r="C345" s="47">
        <v>213702.0</v>
      </c>
      <c r="D345" s="47" t="str">
        <f>VLOOKUP(C345,'Equalização'!E:J,6,0)</f>
        <v>#N/A</v>
      </c>
      <c r="J345" s="31" t="s">
        <v>479</v>
      </c>
    </row>
    <row r="346" ht="15.75" customHeight="1">
      <c r="C346" s="47">
        <v>207933.0</v>
      </c>
      <c r="D346" s="47" t="str">
        <f>VLOOKUP(C346,'Equalização'!E:J,6,0)</f>
        <v>#N/A</v>
      </c>
      <c r="J346" s="31" t="s">
        <v>480</v>
      </c>
    </row>
    <row r="347" ht="15.75" customHeight="1">
      <c r="C347" s="47">
        <v>211403.0</v>
      </c>
      <c r="D347" s="47" t="str">
        <f>VLOOKUP(C347,'Equalização'!E:J,6,0)</f>
        <v>#N/A</v>
      </c>
      <c r="J347" s="31" t="s">
        <v>481</v>
      </c>
    </row>
    <row r="348" ht="15.75" customHeight="1">
      <c r="C348" s="47">
        <v>207175.0</v>
      </c>
      <c r="D348" s="47" t="str">
        <f>VLOOKUP(C348,'Equalização'!E:J,6,0)</f>
        <v>#N/A</v>
      </c>
      <c r="J348" s="31" t="s">
        <v>482</v>
      </c>
    </row>
    <row r="349" ht="15.75" customHeight="1">
      <c r="C349" s="47">
        <v>210843.0</v>
      </c>
      <c r="D349" s="47" t="str">
        <f>VLOOKUP(C349,'Equalização'!E:J,6,0)</f>
        <v>#N/A</v>
      </c>
      <c r="J349" s="31" t="s">
        <v>483</v>
      </c>
    </row>
    <row r="350" ht="15.75" customHeight="1">
      <c r="C350" s="47">
        <v>119541.0</v>
      </c>
      <c r="D350" s="47" t="str">
        <f>VLOOKUP(C350,'Equalização'!E:J,6,0)</f>
        <v>#N/A</v>
      </c>
      <c r="J350" s="31" t="s">
        <v>484</v>
      </c>
    </row>
    <row r="351" ht="15.75" customHeight="1">
      <c r="C351" s="47">
        <v>231275.0</v>
      </c>
      <c r="D351" s="47" t="str">
        <f>VLOOKUP(C351,'Equalização'!E:J,6,0)</f>
        <v>#N/A</v>
      </c>
      <c r="J351" s="31" t="s">
        <v>485</v>
      </c>
    </row>
    <row r="352" ht="15.75" customHeight="1">
      <c r="C352" s="47">
        <v>225717.0</v>
      </c>
      <c r="D352" s="47" t="str">
        <f>VLOOKUP(C352,'Equalização'!E:J,6,0)</f>
        <v>#N/A</v>
      </c>
      <c r="J352" s="33" t="s">
        <v>486</v>
      </c>
    </row>
    <row r="353" ht="15.75" customHeight="1">
      <c r="C353" s="47">
        <v>204704.0</v>
      </c>
      <c r="D353" s="47" t="str">
        <f>VLOOKUP(C353,'Equalização'!E:J,6,0)</f>
        <v>#N/A</v>
      </c>
      <c r="J353" s="31" t="s">
        <v>487</v>
      </c>
    </row>
    <row r="354" ht="15.75" customHeight="1">
      <c r="C354" s="47">
        <v>207198.0</v>
      </c>
      <c r="D354" s="47" t="str">
        <f>VLOOKUP(C354,'Equalização'!E:J,6,0)</f>
        <v>#N/A</v>
      </c>
      <c r="J354" s="31" t="s">
        <v>488</v>
      </c>
    </row>
    <row r="355" ht="15.75" customHeight="1">
      <c r="C355" s="47">
        <v>205936.0</v>
      </c>
      <c r="D355" s="47" t="str">
        <f>VLOOKUP(C355,'Equalização'!E:J,6,0)</f>
        <v>#N/A</v>
      </c>
      <c r="J355" s="31" t="s">
        <v>489</v>
      </c>
    </row>
    <row r="356" ht="15.75" customHeight="1">
      <c r="C356" s="47">
        <v>210400.0</v>
      </c>
      <c r="D356" s="47" t="str">
        <f>VLOOKUP(C356,'Equalização'!E:J,6,0)</f>
        <v>#N/A</v>
      </c>
      <c r="J356" s="31" t="s">
        <v>490</v>
      </c>
    </row>
    <row r="357" ht="15.75" customHeight="1">
      <c r="C357" s="47">
        <v>171169.0</v>
      </c>
      <c r="D357" s="47" t="str">
        <f>VLOOKUP(C357,'Equalização'!E:J,6,0)</f>
        <v>#N/A</v>
      </c>
      <c r="J357" s="31" t="s">
        <v>491</v>
      </c>
    </row>
    <row r="358" ht="15.75" customHeight="1">
      <c r="C358" s="47">
        <v>225643.0</v>
      </c>
      <c r="D358" s="47" t="str">
        <f>VLOOKUP(C358,'Equalização'!E:J,6,0)</f>
        <v>#N/A</v>
      </c>
      <c r="J358" s="31" t="s">
        <v>492</v>
      </c>
    </row>
    <row r="359" ht="15.75" customHeight="1">
      <c r="C359" s="47">
        <v>207472.0</v>
      </c>
      <c r="D359" s="47" t="str">
        <f>VLOOKUP(C359,'Equalização'!E:J,6,0)</f>
        <v>#N/A</v>
      </c>
      <c r="J359" s="31" t="s">
        <v>493</v>
      </c>
    </row>
    <row r="360" ht="15.75" customHeight="1">
      <c r="C360" s="47">
        <v>169349.0</v>
      </c>
      <c r="D360" s="47" t="str">
        <f>VLOOKUP(C360,'Equalização'!E:J,6,0)</f>
        <v>#N/A</v>
      </c>
      <c r="J360" s="31" t="s">
        <v>494</v>
      </c>
    </row>
    <row r="361" ht="15.75" customHeight="1">
      <c r="C361" s="47">
        <v>225746.0</v>
      </c>
      <c r="D361" s="47" t="str">
        <f>VLOOKUP(C361,'Equalização'!E:J,6,0)</f>
        <v>#N/A</v>
      </c>
      <c r="J361" s="31" t="s">
        <v>495</v>
      </c>
    </row>
    <row r="362" ht="15.75" customHeight="1">
      <c r="C362" s="47">
        <v>207145.0</v>
      </c>
      <c r="D362" s="47" t="str">
        <f>VLOOKUP(C362,'Equalização'!E:J,6,0)</f>
        <v>#N/A</v>
      </c>
      <c r="J362" s="31" t="s">
        <v>496</v>
      </c>
    </row>
    <row r="363" ht="15.75" customHeight="1">
      <c r="C363" s="47">
        <v>34126.0</v>
      </c>
      <c r="D363" s="47" t="str">
        <f>VLOOKUP(C363,'Equalização'!E:J,6,0)</f>
        <v>#N/A</v>
      </c>
      <c r="J363" s="31" t="s">
        <v>497</v>
      </c>
    </row>
    <row r="364" ht="15.75" customHeight="1">
      <c r="C364" s="47">
        <v>225582.0</v>
      </c>
      <c r="D364" s="47" t="str">
        <f>VLOOKUP(C364,'Equalização'!E:J,6,0)</f>
        <v>#N/A</v>
      </c>
      <c r="J364" s="31" t="s">
        <v>498</v>
      </c>
    </row>
    <row r="365" ht="15.75" customHeight="1">
      <c r="C365" s="47">
        <v>223361.0</v>
      </c>
      <c r="D365" s="47" t="str">
        <f>VLOOKUP(C365,'Equalização'!E:J,6,0)</f>
        <v>#N/A</v>
      </c>
      <c r="J365" s="31" t="s">
        <v>499</v>
      </c>
    </row>
    <row r="366" ht="15.75" customHeight="1">
      <c r="C366" s="47">
        <v>213022.0</v>
      </c>
      <c r="D366" s="47" t="str">
        <f>VLOOKUP(C366,'Equalização'!E:J,6,0)</f>
        <v>#N/A</v>
      </c>
      <c r="J366" s="31" t="s">
        <v>500</v>
      </c>
    </row>
    <row r="367" ht="15.75" customHeight="1">
      <c r="C367" s="47">
        <v>223374.0</v>
      </c>
      <c r="D367" s="47" t="str">
        <f>VLOOKUP(C367,'Equalização'!E:J,6,0)</f>
        <v>#N/A</v>
      </c>
      <c r="J367" s="31" t="s">
        <v>501</v>
      </c>
    </row>
    <row r="368" ht="15.75" customHeight="1">
      <c r="C368" s="47">
        <v>213067.0</v>
      </c>
      <c r="D368" s="47" t="str">
        <f>VLOOKUP(C368,'Equalização'!E:J,6,0)</f>
        <v>#N/A</v>
      </c>
      <c r="J368" s="31" t="s">
        <v>502</v>
      </c>
    </row>
    <row r="369" ht="15.75" customHeight="1">
      <c r="C369" s="47">
        <v>207156.0</v>
      </c>
      <c r="D369" s="47" t="str">
        <f>VLOOKUP(C369,'Equalização'!E:J,6,0)</f>
        <v>#N/A</v>
      </c>
      <c r="J369" s="31" t="s">
        <v>503</v>
      </c>
    </row>
    <row r="370" ht="15.75" customHeight="1">
      <c r="C370" s="47">
        <v>152895.0</v>
      </c>
      <c r="D370" s="47" t="str">
        <f>VLOOKUP(C370,'Equalização'!E:J,6,0)</f>
        <v>#N/A</v>
      </c>
      <c r="J370" s="31" t="s">
        <v>504</v>
      </c>
    </row>
    <row r="371" ht="15.75" customHeight="1">
      <c r="C371" s="47">
        <v>207201.0</v>
      </c>
      <c r="D371" s="47" t="str">
        <f>VLOOKUP(C371,'Equalização'!E:J,6,0)</f>
        <v>#N/A</v>
      </c>
      <c r="J371" s="31" t="s">
        <v>505</v>
      </c>
    </row>
    <row r="372" ht="15.75" customHeight="1">
      <c r="C372" s="47">
        <v>207848.0</v>
      </c>
      <c r="D372" s="47" t="str">
        <f>VLOOKUP(C372,'Equalização'!E:J,6,0)</f>
        <v>#N/A</v>
      </c>
      <c r="J372" s="31" t="s">
        <v>506</v>
      </c>
    </row>
    <row r="373" ht="15.75" customHeight="1">
      <c r="C373" s="47">
        <v>228098.0</v>
      </c>
      <c r="D373" s="47" t="str">
        <f>VLOOKUP(C373,'Equalização'!E:J,6,0)</f>
        <v>#N/A</v>
      </c>
      <c r="J373" s="31" t="s">
        <v>507</v>
      </c>
    </row>
    <row r="374" ht="15.75" customHeight="1">
      <c r="C374" s="47">
        <v>58335.0</v>
      </c>
      <c r="D374" s="47" t="str">
        <f>VLOOKUP(C374,'Equalização'!E:J,6,0)</f>
        <v>#N/A</v>
      </c>
      <c r="J374" s="31" t="s">
        <v>508</v>
      </c>
    </row>
    <row r="375" ht="15.75" customHeight="1">
      <c r="C375" s="47">
        <v>225587.0</v>
      </c>
      <c r="D375" s="47" t="str">
        <f>VLOOKUP(C375,'Equalização'!E:J,6,0)</f>
        <v>#N/A</v>
      </c>
      <c r="J375" s="31" t="s">
        <v>509</v>
      </c>
    </row>
    <row r="376" ht="15.75" customHeight="1">
      <c r="C376" s="47">
        <v>205850.0</v>
      </c>
      <c r="D376" s="47" t="str">
        <f>VLOOKUP(C376,'Equalização'!E:J,6,0)</f>
        <v>#N/A</v>
      </c>
      <c r="J376" s="31" t="s">
        <v>510</v>
      </c>
    </row>
    <row r="377" ht="15.75" customHeight="1">
      <c r="C377" s="47">
        <v>225902.0</v>
      </c>
      <c r="D377" s="47" t="str">
        <f>VLOOKUP(C377,'Equalização'!E:J,6,0)</f>
        <v>#N/A</v>
      </c>
      <c r="J377" s="31" t="s">
        <v>511</v>
      </c>
    </row>
    <row r="378" ht="15.75" customHeight="1">
      <c r="C378" s="47">
        <v>212232.0</v>
      </c>
      <c r="D378" s="47" t="str">
        <f>VLOOKUP(C378,'Equalização'!E:J,6,0)</f>
        <v>#N/A</v>
      </c>
      <c r="J378" s="31" t="s">
        <v>512</v>
      </c>
    </row>
    <row r="379" ht="15.75" customHeight="1">
      <c r="C379" s="47">
        <v>207155.0</v>
      </c>
      <c r="D379" s="47" t="str">
        <f>VLOOKUP(C379,'Equalização'!E:J,6,0)</f>
        <v>#N/A</v>
      </c>
      <c r="J379" s="31" t="s">
        <v>513</v>
      </c>
    </row>
    <row r="380" ht="15.75" customHeight="1">
      <c r="C380" s="47">
        <v>230880.0</v>
      </c>
      <c r="D380" s="47" t="str">
        <f>VLOOKUP(C380,'Equalização'!E:J,6,0)</f>
        <v>#N/A</v>
      </c>
      <c r="J380" s="31" t="s">
        <v>514</v>
      </c>
    </row>
    <row r="381" ht="15.75" customHeight="1">
      <c r="C381" s="47">
        <v>213021.0</v>
      </c>
      <c r="D381" s="47" t="str">
        <f>VLOOKUP(C381,'Equalização'!E:J,6,0)</f>
        <v>#N/A</v>
      </c>
      <c r="J381" s="31" t="s">
        <v>515</v>
      </c>
    </row>
    <row r="382" ht="15.75" customHeight="1">
      <c r="C382" s="47">
        <v>187128.0</v>
      </c>
      <c r="D382" s="47" t="str">
        <f>VLOOKUP(C382,'Equalização'!E:J,6,0)</f>
        <v>#N/A</v>
      </c>
      <c r="J382" s="31" t="s">
        <v>516</v>
      </c>
    </row>
    <row r="383" ht="15.75" customHeight="1">
      <c r="C383" s="47">
        <v>146191.0</v>
      </c>
      <c r="D383" s="47" t="str">
        <f>VLOOKUP(C383,'Equalização'!E:J,6,0)</f>
        <v>#N/A</v>
      </c>
      <c r="J383" s="31" t="s">
        <v>517</v>
      </c>
    </row>
    <row r="384" ht="15.75" customHeight="1">
      <c r="C384" s="47">
        <v>208927.0</v>
      </c>
      <c r="D384" s="47" t="str">
        <f>VLOOKUP(C384,'Equalização'!E:J,6,0)</f>
        <v>#N/A</v>
      </c>
      <c r="J384" s="31" t="s">
        <v>518</v>
      </c>
    </row>
    <row r="385" ht="15.75" customHeight="1">
      <c r="C385" s="47">
        <v>207397.0</v>
      </c>
      <c r="D385" s="47" t="str">
        <f>VLOOKUP(C385,'Equalização'!E:J,6,0)</f>
        <v>#N/A</v>
      </c>
      <c r="J385" s="31" t="s">
        <v>519</v>
      </c>
    </row>
    <row r="386" ht="15.75" customHeight="1">
      <c r="C386" s="47">
        <v>213027.0</v>
      </c>
      <c r="D386" s="47" t="str">
        <f>VLOOKUP(C386,'Equalização'!E:J,6,0)</f>
        <v>#N/A</v>
      </c>
      <c r="J386" s="31" t="s">
        <v>520</v>
      </c>
    </row>
    <row r="387" ht="15.75" customHeight="1">
      <c r="C387" s="47">
        <v>207144.0</v>
      </c>
      <c r="D387" s="47" t="str">
        <f>VLOOKUP(C387,'Equalização'!E:J,6,0)</f>
        <v>#N/A</v>
      </c>
      <c r="J387" s="42"/>
    </row>
    <row r="388" ht="15.75" customHeight="1">
      <c r="C388" s="47">
        <v>225718.0</v>
      </c>
      <c r="D388" s="47" t="str">
        <f>VLOOKUP(C388,'Equalização'!E:J,6,0)</f>
        <v>#N/A</v>
      </c>
    </row>
    <row r="389" ht="15.75" customHeight="1">
      <c r="C389" s="47">
        <v>207238.0</v>
      </c>
      <c r="D389" s="47" t="str">
        <f>VLOOKUP(C389,'Equalização'!E:J,6,0)</f>
        <v>#N/A</v>
      </c>
    </row>
    <row r="390" ht="15.75" customHeight="1">
      <c r="C390" s="47">
        <v>223122.0</v>
      </c>
      <c r="D390" s="47" t="str">
        <f>VLOOKUP(C390,'Equalização'!E:J,6,0)</f>
        <v>#N/A</v>
      </c>
    </row>
    <row r="391" ht="15.75" customHeight="1">
      <c r="C391" s="47">
        <v>207759.0</v>
      </c>
      <c r="D391" s="47" t="str">
        <f>VLOOKUP(C391,'Equalização'!E:J,6,0)</f>
        <v>#N/A</v>
      </c>
    </row>
    <row r="392" ht="15.75" customHeight="1">
      <c r="C392" s="47">
        <v>225586.0</v>
      </c>
      <c r="D392" s="47" t="str">
        <f>VLOOKUP(C392,'Equalização'!E:J,6,0)</f>
        <v>#N/A</v>
      </c>
    </row>
    <row r="393" ht="15.75" customHeight="1">
      <c r="C393" s="47">
        <v>212987.0</v>
      </c>
      <c r="D393" s="47" t="str">
        <f>VLOOKUP(C393,'Equalização'!E:J,6,0)</f>
        <v>#N/A</v>
      </c>
    </row>
    <row r="394" ht="15.75" customHeight="1">
      <c r="C394" s="47">
        <v>214035.0</v>
      </c>
      <c r="D394" s="47" t="str">
        <f>VLOOKUP(C394,'Equalização'!E:J,6,0)</f>
        <v>#N/A</v>
      </c>
    </row>
    <row r="395" ht="15.75" customHeight="1">
      <c r="C395" s="47">
        <v>225903.0</v>
      </c>
      <c r="D395" s="47" t="str">
        <f>VLOOKUP(C395,'Equalização'!E:J,6,0)</f>
        <v>#N/A</v>
      </c>
    </row>
    <row r="396" ht="15.75" customHeight="1">
      <c r="C396" s="47">
        <v>222405.0</v>
      </c>
      <c r="D396" s="47" t="str">
        <f>VLOOKUP(C396,'Equalização'!E:J,6,0)</f>
        <v>#N/A</v>
      </c>
    </row>
    <row r="397" ht="15.75" customHeight="1">
      <c r="C397" s="47">
        <v>146553.0</v>
      </c>
      <c r="D397" s="47" t="str">
        <f>VLOOKUP(C397,'Equalização'!E:J,6,0)</f>
        <v>#N/A</v>
      </c>
    </row>
    <row r="398" ht="15.75" customHeight="1">
      <c r="C398" s="47">
        <v>213509.0</v>
      </c>
      <c r="D398" s="47" t="str">
        <f>VLOOKUP(C398,'Equalização'!E:J,6,0)</f>
        <v>#N/A</v>
      </c>
    </row>
    <row r="399" ht="15.75" customHeight="1">
      <c r="C399" s="47">
        <v>204752.0</v>
      </c>
      <c r="D399" s="47" t="str">
        <f>VLOOKUP(C399,'Equalização'!E:J,6,0)</f>
        <v>#N/A</v>
      </c>
    </row>
    <row r="400" ht="15.75" customHeight="1">
      <c r="C400" s="47">
        <v>213512.0</v>
      </c>
      <c r="D400" s="47" t="str">
        <f>VLOOKUP(C400,'Equalização'!E:J,6,0)</f>
        <v>#N/A</v>
      </c>
    </row>
    <row r="401" ht="15.75" customHeight="1">
      <c r="C401" s="47">
        <v>214039.0</v>
      </c>
      <c r="D401" s="47" t="str">
        <f>VLOOKUP(C401,'Equalização'!E:J,6,0)</f>
        <v>#N/A</v>
      </c>
    </row>
    <row r="402" ht="15.75" customHeight="1">
      <c r="C402" s="47">
        <v>146552.0</v>
      </c>
      <c r="D402" s="47" t="str">
        <f>VLOOKUP(C402,'Equalização'!E:J,6,0)</f>
        <v>#N/A</v>
      </c>
    </row>
    <row r="403" ht="15.75" customHeight="1">
      <c r="C403" s="47">
        <v>225776.0</v>
      </c>
      <c r="D403" s="47" t="str">
        <f>VLOOKUP(C403,'Equalização'!E:J,6,0)</f>
        <v>#N/A</v>
      </c>
    </row>
    <row r="404" ht="15.75" customHeight="1">
      <c r="C404" s="47">
        <v>204711.0</v>
      </c>
      <c r="D404" s="47" t="str">
        <f>VLOOKUP(C404,'Equalização'!E:J,6,0)</f>
        <v>#N/A</v>
      </c>
    </row>
    <row r="405" ht="15.75" customHeight="1">
      <c r="C405" s="47">
        <v>213518.0</v>
      </c>
      <c r="D405" s="47" t="str">
        <f>VLOOKUP(C405,'Equalização'!E:J,6,0)</f>
        <v>#N/A</v>
      </c>
    </row>
    <row r="406" ht="15.75" customHeight="1">
      <c r="C406" s="47">
        <v>213232.0</v>
      </c>
      <c r="D406" s="47" t="str">
        <f>VLOOKUP(C406,'Equalização'!E:J,6,0)</f>
        <v>#N/A</v>
      </c>
    </row>
    <row r="407" ht="15.75" customHeight="1">
      <c r="C407" s="47">
        <v>204645.0</v>
      </c>
      <c r="D407" s="47" t="str">
        <f>VLOOKUP(C407,'Equalização'!E:J,6,0)</f>
        <v>#N/A</v>
      </c>
    </row>
    <row r="408" ht="15.75" customHeight="1">
      <c r="C408" s="47">
        <v>213233.0</v>
      </c>
      <c r="D408" s="47" t="str">
        <f>VLOOKUP(C408,'Equalização'!E:J,6,0)</f>
        <v>#N/A</v>
      </c>
    </row>
    <row r="409" ht="15.75" customHeight="1">
      <c r="C409" s="47">
        <v>211550.0</v>
      </c>
      <c r="D409" s="47" t="str">
        <f>VLOOKUP(C409,'Equalização'!E:J,6,0)</f>
        <v>#N/A</v>
      </c>
    </row>
    <row r="410" ht="15.75" customHeight="1">
      <c r="C410" s="47">
        <v>225721.0</v>
      </c>
      <c r="D410" s="47" t="str">
        <f>VLOOKUP(C410,'Equalização'!E:J,6,0)</f>
        <v>#N/A</v>
      </c>
    </row>
    <row r="411" ht="15.75" customHeight="1">
      <c r="C411" s="47">
        <v>220107.0</v>
      </c>
      <c r="D411" s="47" t="str">
        <f>VLOOKUP(C411,'Equalização'!E:J,6,0)</f>
        <v>#N/A</v>
      </c>
    </row>
    <row r="412" ht="15.75" customHeight="1">
      <c r="C412" s="47">
        <v>129466.0</v>
      </c>
      <c r="D412" s="47" t="str">
        <f>VLOOKUP(C412,'Equalização'!E:J,6,0)</f>
        <v>#N/A</v>
      </c>
    </row>
    <row r="413" ht="15.75" customHeight="1">
      <c r="C413" s="47">
        <v>214040.0</v>
      </c>
      <c r="D413" s="47" t="str">
        <f>VLOOKUP(C413,'Equalização'!E:J,6,0)</f>
        <v>#N/A</v>
      </c>
    </row>
    <row r="414" ht="15.75" customHeight="1">
      <c r="C414" s="47">
        <v>220019.0</v>
      </c>
      <c r="D414" s="47" t="str">
        <f>VLOOKUP(C414,'Equalização'!E:J,6,0)</f>
        <v>#N/A</v>
      </c>
    </row>
    <row r="415" ht="15.75" customHeight="1">
      <c r="C415" s="47">
        <v>225558.0</v>
      </c>
      <c r="D415" s="47" t="str">
        <f>VLOOKUP(C415,'Equalização'!E:J,6,0)</f>
        <v>#N/A</v>
      </c>
    </row>
    <row r="416" ht="15.75" customHeight="1">
      <c r="C416" s="47">
        <v>216650.0</v>
      </c>
      <c r="D416" s="47" t="str">
        <f>VLOOKUP(C416,'Equalização'!E:J,6,0)</f>
        <v>#N/A</v>
      </c>
    </row>
    <row r="417" ht="15.75" customHeight="1">
      <c r="C417" s="47">
        <v>231233.0</v>
      </c>
      <c r="D417" s="47" t="str">
        <f>VLOOKUP(C417,'Equalização'!E:J,6,0)</f>
        <v>#N/A</v>
      </c>
    </row>
    <row r="418" ht="15.75" customHeight="1">
      <c r="C418" s="47">
        <v>213170.0</v>
      </c>
      <c r="D418" s="47" t="str">
        <f>VLOOKUP(C418,'Equalização'!E:J,6,0)</f>
        <v>#N/A</v>
      </c>
    </row>
    <row r="419" ht="15.75" customHeight="1">
      <c r="C419" s="47">
        <v>225565.0</v>
      </c>
      <c r="D419" s="47" t="str">
        <f>VLOOKUP(C419,'Equalização'!E:J,6,0)</f>
        <v>#N/A</v>
      </c>
    </row>
    <row r="420" ht="15.75" customHeight="1">
      <c r="C420" s="47">
        <v>106232.0</v>
      </c>
      <c r="D420" s="47" t="str">
        <f>VLOOKUP(C420,'Equalização'!E:J,6,0)</f>
        <v>#N/A</v>
      </c>
    </row>
    <row r="421" ht="15.75" customHeight="1">
      <c r="C421" s="47">
        <v>205921.0</v>
      </c>
      <c r="D421" s="47" t="str">
        <f>VLOOKUP(C421,'Equalização'!E:J,6,0)</f>
        <v>#N/A</v>
      </c>
    </row>
    <row r="422" ht="15.75" customHeight="1">
      <c r="C422" s="47">
        <v>204714.0</v>
      </c>
      <c r="D422" s="47" t="str">
        <f>VLOOKUP(C422,'Equalização'!E:J,6,0)</f>
        <v>#N/A</v>
      </c>
    </row>
    <row r="423" ht="15.75" customHeight="1">
      <c r="C423" s="47">
        <v>231178.0</v>
      </c>
      <c r="D423" s="47" t="str">
        <f>VLOOKUP(C423,'Equalização'!E:J,6,0)</f>
        <v>#N/A</v>
      </c>
    </row>
    <row r="424" ht="15.75" customHeight="1">
      <c r="C424" s="47">
        <v>223357.0</v>
      </c>
      <c r="D424" s="47" t="str">
        <f>VLOOKUP(C424,'Equalização'!E:J,6,0)</f>
        <v>#N/A</v>
      </c>
    </row>
    <row r="425" ht="15.75" customHeight="1">
      <c r="C425" s="47">
        <v>240043.0</v>
      </c>
      <c r="D425" s="47" t="str">
        <f>VLOOKUP(C425,'Equalização'!E:J,6,0)</f>
        <v>#N/A</v>
      </c>
    </row>
    <row r="426" ht="15.75" customHeight="1">
      <c r="C426" s="47">
        <v>207154.0</v>
      </c>
      <c r="D426" s="47" t="str">
        <f>VLOOKUP(C426,'Equalização'!E:J,6,0)</f>
        <v>#N/A</v>
      </c>
    </row>
    <row r="427" ht="15.75" customHeight="1">
      <c r="C427" s="47">
        <v>213070.0</v>
      </c>
      <c r="D427" s="47" t="str">
        <f>VLOOKUP(C427,'Equalização'!E:J,6,0)</f>
        <v>#N/A</v>
      </c>
    </row>
    <row r="428" ht="15.75" customHeight="1">
      <c r="C428" s="47">
        <v>220113.0</v>
      </c>
      <c r="D428" s="47" t="str">
        <f>VLOOKUP(C428,'Equalização'!E:J,6,0)</f>
        <v>#N/A</v>
      </c>
    </row>
    <row r="429" ht="15.75" customHeight="1">
      <c r="C429" s="47">
        <v>225897.0</v>
      </c>
      <c r="D429" s="47" t="str">
        <f>VLOOKUP(C429,'Equalização'!E:J,6,0)</f>
        <v>#N/A</v>
      </c>
    </row>
    <row r="430" ht="15.75" customHeight="1">
      <c r="C430" s="47">
        <v>205912.0</v>
      </c>
      <c r="D430" s="47" t="str">
        <f>VLOOKUP(C430,'Equalização'!E:J,6,0)</f>
        <v>#N/A</v>
      </c>
    </row>
    <row r="431" ht="15.75" customHeight="1">
      <c r="C431" s="47">
        <v>217614.0</v>
      </c>
      <c r="D431" s="47" t="str">
        <f>VLOOKUP(C431,'Equalização'!E:J,6,0)</f>
        <v>#N/A</v>
      </c>
    </row>
    <row r="432" ht="15.75" customHeight="1">
      <c r="C432" s="47">
        <v>223915.0</v>
      </c>
      <c r="D432" s="47" t="str">
        <f>VLOOKUP(C432,'Equalização'!E:J,6,0)</f>
        <v>#N/A</v>
      </c>
    </row>
    <row r="433" ht="15.75" customHeight="1">
      <c r="C433" s="47">
        <v>207972.0</v>
      </c>
      <c r="D433" s="47" t="str">
        <f>VLOOKUP(C433,'Equalização'!E:J,6,0)</f>
        <v>#N/A</v>
      </c>
    </row>
    <row r="434" ht="15.75" customHeight="1">
      <c r="C434" s="47">
        <v>213699.0</v>
      </c>
      <c r="D434" s="47" t="str">
        <f>VLOOKUP(C434,'Equalização'!E:J,6,0)</f>
        <v>#N/A</v>
      </c>
    </row>
    <row r="435" ht="15.75" customHeight="1">
      <c r="C435" s="47">
        <v>225892.0</v>
      </c>
      <c r="D435" s="47" t="str">
        <f>VLOOKUP(C435,'Equalização'!E:J,6,0)</f>
        <v>#N/A</v>
      </c>
    </row>
    <row r="436" ht="15.75" customHeight="1">
      <c r="C436" s="47">
        <v>225932.0</v>
      </c>
      <c r="D436" s="47" t="str">
        <f>VLOOKUP(C436,'Equalização'!E:J,6,0)</f>
        <v>#N/A</v>
      </c>
    </row>
    <row r="437" ht="15.75" customHeight="1">
      <c r="C437" s="47">
        <v>204644.0</v>
      </c>
      <c r="D437" s="47" t="str">
        <f>VLOOKUP(C437,'Equalização'!E:J,6,0)</f>
        <v>#N/A</v>
      </c>
    </row>
    <row r="438" ht="15.75" customHeight="1">
      <c r="C438" s="47">
        <v>225569.0</v>
      </c>
      <c r="D438" s="47" t="str">
        <f>VLOOKUP(C438,'Equalização'!E:J,6,0)</f>
        <v>#N/A</v>
      </c>
    </row>
    <row r="439" ht="15.75" customHeight="1">
      <c r="C439" s="47">
        <v>225701.0</v>
      </c>
      <c r="D439" s="47" t="str">
        <f>VLOOKUP(C439,'Equalização'!E:J,6,0)</f>
        <v>#N/A</v>
      </c>
    </row>
    <row r="440" ht="15.75" customHeight="1">
      <c r="C440" s="47">
        <v>225577.0</v>
      </c>
      <c r="D440" s="47" t="str">
        <f>VLOOKUP(C440,'Equalização'!E:J,6,0)</f>
        <v>#N/A</v>
      </c>
    </row>
    <row r="441" ht="15.75" customHeight="1">
      <c r="C441" s="47">
        <v>207196.0</v>
      </c>
      <c r="D441" s="47" t="str">
        <f>VLOOKUP(C441,'Equalização'!E:J,6,0)</f>
        <v>#N/A</v>
      </c>
    </row>
    <row r="442" ht="15.75" customHeight="1">
      <c r="C442" s="47">
        <v>207142.0</v>
      </c>
      <c r="D442" s="47" t="str">
        <f>VLOOKUP(C442,'Equalização'!E:J,6,0)</f>
        <v>#N/A</v>
      </c>
    </row>
    <row r="443" ht="15.75" customHeight="1">
      <c r="C443" s="47">
        <v>223726.0</v>
      </c>
      <c r="D443" s="47" t="str">
        <f>VLOOKUP(C443,'Equalização'!E:J,6,0)</f>
        <v>#N/A</v>
      </c>
    </row>
    <row r="444" ht="15.75" customHeight="1">
      <c r="C444" s="47">
        <v>226235.0</v>
      </c>
      <c r="D444" s="47" t="str">
        <f>VLOOKUP(C444,'Equalização'!E:J,6,0)</f>
        <v>#N/A</v>
      </c>
    </row>
    <row r="445" ht="15.75" customHeight="1">
      <c r="C445" s="47">
        <v>238440.0</v>
      </c>
      <c r="D445" s="47" t="str">
        <f>VLOOKUP(C445,'Equalização'!E:J,6,0)</f>
        <v>#N/A</v>
      </c>
    </row>
    <row r="446" ht="15.75" customHeight="1">
      <c r="C446" s="47">
        <v>127662.0</v>
      </c>
      <c r="D446" s="47" t="str">
        <f>VLOOKUP(C446,'Equalização'!E:J,6,0)</f>
        <v>#N/A</v>
      </c>
    </row>
    <row r="447" ht="15.75" customHeight="1">
      <c r="C447" s="47">
        <v>226244.0</v>
      </c>
      <c r="D447" s="47" t="str">
        <f>VLOOKUP(C447,'Equalização'!E:J,6,0)</f>
        <v>#N/A</v>
      </c>
    </row>
    <row r="448" ht="15.75" customHeight="1">
      <c r="C448" s="47">
        <v>226213.0</v>
      </c>
      <c r="D448" s="47" t="str">
        <f>VLOOKUP(C448,'Equalização'!E:J,6,0)</f>
        <v>#N/A</v>
      </c>
    </row>
    <row r="449" ht="15.75" customHeight="1">
      <c r="C449" s="47">
        <v>228030.0</v>
      </c>
      <c r="D449" s="47" t="str">
        <f>VLOOKUP(C449,'Equalização'!E:J,6,0)</f>
        <v>#N/A</v>
      </c>
    </row>
    <row r="450" ht="15.75" customHeight="1">
      <c r="C450" s="47">
        <v>226216.0</v>
      </c>
      <c r="D450" s="47" t="str">
        <f>VLOOKUP(C450,'Equalização'!E:J,6,0)</f>
        <v>#N/A</v>
      </c>
    </row>
    <row r="451" ht="15.75" customHeight="1">
      <c r="C451" s="47">
        <v>230873.0</v>
      </c>
      <c r="D451" s="47" t="str">
        <f>VLOOKUP(C451,'Equalização'!E:J,6,0)</f>
        <v>#N/A</v>
      </c>
    </row>
    <row r="452" ht="15.75" customHeight="1">
      <c r="C452" s="47">
        <v>206001.0</v>
      </c>
      <c r="D452" s="47" t="str">
        <f>VLOOKUP(C452,'Equalização'!E:J,6,0)</f>
        <v>#N/A</v>
      </c>
    </row>
    <row r="453" ht="15.75" customHeight="1">
      <c r="C453" s="47">
        <v>217145.0</v>
      </c>
      <c r="D453" s="47" t="str">
        <f>VLOOKUP(C453,'Equalização'!E:J,6,0)</f>
        <v>#N/A</v>
      </c>
    </row>
    <row r="454" ht="15.75" customHeight="1">
      <c r="C454" s="47">
        <v>207851.0</v>
      </c>
      <c r="D454" s="47" t="str">
        <f>VLOOKUP(C454,'Equalização'!E:J,6,0)</f>
        <v>#N/A</v>
      </c>
    </row>
    <row r="455" ht="15.75" customHeight="1">
      <c r="C455" s="47">
        <v>240205.0</v>
      </c>
      <c r="D455" s="47" t="str">
        <f>VLOOKUP(C455,'Equalização'!E:J,6,0)</f>
        <v>#N/A</v>
      </c>
    </row>
    <row r="456" ht="15.75" customHeight="1">
      <c r="C456" s="47">
        <v>228276.0</v>
      </c>
      <c r="D456" s="47" t="str">
        <f>VLOOKUP(C456,'Equalização'!E:J,6,0)</f>
        <v>#N/A</v>
      </c>
    </row>
    <row r="457" ht="15.75" customHeight="1">
      <c r="C457" s="47">
        <v>225953.0</v>
      </c>
      <c r="D457" s="47" t="str">
        <f>VLOOKUP(C457,'Equalização'!E:J,6,0)</f>
        <v>#N/A</v>
      </c>
    </row>
    <row r="458" ht="15.75" customHeight="1">
      <c r="C458" s="47">
        <v>211686.0</v>
      </c>
      <c r="D458" s="47" t="str">
        <f>VLOOKUP(C458,'Equalização'!E:J,6,0)</f>
        <v>#N/A</v>
      </c>
    </row>
    <row r="459" ht="15.75" customHeight="1">
      <c r="C459" s="47">
        <v>225616.0</v>
      </c>
      <c r="D459" s="47" t="str">
        <f>VLOOKUP(C459,'Equalização'!E:J,6,0)</f>
        <v>#N/A</v>
      </c>
    </row>
    <row r="460" ht="15.75" customHeight="1">
      <c r="C460" s="47">
        <v>225656.0</v>
      </c>
      <c r="D460" s="47" t="str">
        <f>VLOOKUP(C460,'Equalização'!E:J,6,0)</f>
        <v>#N/A</v>
      </c>
    </row>
    <row r="461" ht="15.75" customHeight="1">
      <c r="C461" s="47">
        <v>205827.0</v>
      </c>
      <c r="D461" s="47" t="str">
        <f>VLOOKUP(C461,'Equalização'!E:J,6,0)</f>
        <v>#N/A</v>
      </c>
    </row>
    <row r="462" ht="15.75" customHeight="1">
      <c r="C462" s="47">
        <v>211601.0</v>
      </c>
      <c r="D462" s="47" t="str">
        <f>VLOOKUP(C462,'Equalização'!E:J,6,0)</f>
        <v>#N/A</v>
      </c>
    </row>
    <row r="463" ht="15.75" customHeight="1">
      <c r="C463" s="47">
        <v>160466.0</v>
      </c>
      <c r="D463" s="47" t="str">
        <f>VLOOKUP(C463,'Equalização'!E:J,6,0)</f>
        <v>#N/A</v>
      </c>
    </row>
    <row r="464" ht="15.75" customHeight="1">
      <c r="C464" s="47">
        <v>225821.0</v>
      </c>
      <c r="D464" s="47" t="str">
        <f>VLOOKUP(C464,'Equalização'!E:J,6,0)</f>
        <v>#N/A</v>
      </c>
    </row>
    <row r="465" ht="15.75" customHeight="1">
      <c r="C465" s="47">
        <v>227670.0</v>
      </c>
      <c r="D465" s="47" t="str">
        <f>VLOOKUP(C465,'Equalização'!E:J,6,0)</f>
        <v>#N/A</v>
      </c>
    </row>
    <row r="466" ht="15.75" customHeight="1">
      <c r="C466" s="47">
        <v>225699.0</v>
      </c>
      <c r="D466" s="47" t="str">
        <f>VLOOKUP(C466,'Equalização'!E:J,6,0)</f>
        <v>#N/A</v>
      </c>
    </row>
    <row r="467" ht="15.75" customHeight="1">
      <c r="C467" s="47">
        <v>205826.0</v>
      </c>
      <c r="D467" s="47" t="str">
        <f>VLOOKUP(C467,'Equalização'!E:J,6,0)</f>
        <v>#N/A</v>
      </c>
    </row>
    <row r="468" ht="15.75" customHeight="1">
      <c r="C468" s="47">
        <v>206051.0</v>
      </c>
      <c r="D468" s="47" t="str">
        <f>VLOOKUP(C468,'Equalização'!E:J,6,0)</f>
        <v>#N/A</v>
      </c>
    </row>
    <row r="469" ht="15.75" customHeight="1">
      <c r="C469" s="47">
        <v>212432.0</v>
      </c>
      <c r="D469" s="47" t="str">
        <f>VLOOKUP(C469,'Equalização'!E:J,6,0)</f>
        <v>#N/A</v>
      </c>
    </row>
    <row r="470" ht="15.75" customHeight="1">
      <c r="C470" s="47">
        <v>227746.0</v>
      </c>
      <c r="D470" s="47" t="str">
        <f>VLOOKUP(C470,'Equalização'!E:J,6,0)</f>
        <v>#N/A</v>
      </c>
    </row>
    <row r="471" ht="15.75" customHeight="1">
      <c r="C471" s="47">
        <v>205898.0</v>
      </c>
      <c r="D471" s="47" t="str">
        <f>VLOOKUP(C471,'Equalização'!E:J,6,0)</f>
        <v>#N/A</v>
      </c>
    </row>
    <row r="472" ht="15.75" customHeight="1">
      <c r="C472" s="47">
        <v>225906.0</v>
      </c>
      <c r="D472" s="47" t="str">
        <f>VLOOKUP(C472,'Equalização'!E:J,6,0)</f>
        <v>#N/A</v>
      </c>
    </row>
    <row r="473" ht="15.75" customHeight="1">
      <c r="C473" s="47">
        <v>225601.0</v>
      </c>
      <c r="D473" s="47" t="str">
        <f>VLOOKUP(C473,'Equalização'!E:J,6,0)</f>
        <v>#N/A</v>
      </c>
    </row>
    <row r="474" ht="15.75" customHeight="1">
      <c r="C474" s="47">
        <v>213146.0</v>
      </c>
      <c r="D474" s="47" t="str">
        <f>VLOOKUP(C474,'Equalização'!E:J,6,0)</f>
        <v>#N/A</v>
      </c>
    </row>
    <row r="475" ht="15.75" customHeight="1">
      <c r="C475" s="47">
        <v>225618.0</v>
      </c>
      <c r="D475" s="47" t="str">
        <f>VLOOKUP(C475,'Equalização'!E:J,6,0)</f>
        <v>#N/A</v>
      </c>
    </row>
    <row r="476" ht="15.75" customHeight="1">
      <c r="C476" s="47">
        <v>205900.0</v>
      </c>
      <c r="D476" s="47" t="str">
        <f>VLOOKUP(C476,'Equalização'!E:J,6,0)</f>
        <v>#N/A</v>
      </c>
    </row>
    <row r="477" ht="15.75" customHeight="1">
      <c r="C477" s="47">
        <v>212013.0</v>
      </c>
      <c r="D477" s="47" t="str">
        <f>VLOOKUP(C477,'Equalização'!E:J,6,0)</f>
        <v>#N/A</v>
      </c>
    </row>
    <row r="478" ht="15.75" customHeight="1">
      <c r="C478" s="47">
        <v>207168.0</v>
      </c>
      <c r="D478" s="47" t="str">
        <f>VLOOKUP(C478,'Equalização'!E:J,6,0)</f>
        <v>#N/A</v>
      </c>
    </row>
    <row r="479" ht="15.75" customHeight="1">
      <c r="C479" s="47">
        <v>119704.0</v>
      </c>
      <c r="D479" s="47" t="str">
        <f>VLOOKUP(C479,'Equalização'!E:J,6,0)</f>
        <v>#N/A</v>
      </c>
    </row>
    <row r="480" ht="15.75" customHeight="1">
      <c r="C480" s="47">
        <v>213065.0</v>
      </c>
      <c r="D480" s="47" t="str">
        <f>VLOOKUP(C480,'Equalização'!E:J,6,0)</f>
        <v>#N/A</v>
      </c>
    </row>
    <row r="481" ht="15.75" customHeight="1">
      <c r="C481" s="47">
        <v>99082.0</v>
      </c>
      <c r="D481" s="47" t="str">
        <f>VLOOKUP(C481,'Equalização'!E:J,6,0)</f>
        <v>#N/A</v>
      </c>
    </row>
    <row r="482" ht="15.75" customHeight="1">
      <c r="C482" s="47">
        <v>223925.0</v>
      </c>
      <c r="D482" s="47" t="str">
        <f>VLOOKUP(C482,'Equalização'!E:J,6,0)</f>
        <v>#N/A</v>
      </c>
    </row>
    <row r="483" ht="15.75" customHeight="1">
      <c r="C483" s="47">
        <v>155880.0</v>
      </c>
      <c r="D483" s="47" t="str">
        <f>VLOOKUP(C483,'Equalização'!E:J,6,0)</f>
        <v>#N/A</v>
      </c>
    </row>
    <row r="484" ht="15.75" customHeight="1">
      <c r="C484" s="47">
        <v>226339.0</v>
      </c>
      <c r="D484" s="47" t="str">
        <f>VLOOKUP(C484,'Equalização'!E:J,6,0)</f>
        <v>#N/A</v>
      </c>
    </row>
    <row r="485" ht="15.75" customHeight="1">
      <c r="C485" s="47">
        <v>207138.0</v>
      </c>
      <c r="D485" s="47" t="str">
        <f>VLOOKUP(C485,'Equalização'!E:J,6,0)</f>
        <v>#N/A</v>
      </c>
    </row>
    <row r="486" ht="15.75" customHeight="1">
      <c r="C486" s="47">
        <v>207236.0</v>
      </c>
      <c r="D486" s="47" t="str">
        <f>VLOOKUP(C486,'Equalização'!E:J,6,0)</f>
        <v>#N/A</v>
      </c>
    </row>
    <row r="487" ht="15.75" customHeight="1">
      <c r="C487" s="47">
        <v>207239.0</v>
      </c>
      <c r="D487" s="47" t="str">
        <f>VLOOKUP(C487,'Equalização'!E:J,6,0)</f>
        <v>#N/A</v>
      </c>
    </row>
    <row r="488" ht="15.75" customHeight="1">
      <c r="C488" s="47">
        <v>225918.0</v>
      </c>
      <c r="D488" s="47" t="str">
        <f>VLOOKUP(C488,'Equalização'!E:J,6,0)</f>
        <v>#N/A</v>
      </c>
    </row>
    <row r="489" ht="15.75" customHeight="1">
      <c r="C489" s="47">
        <v>167690.0</v>
      </c>
      <c r="D489" s="47" t="str">
        <f>VLOOKUP(C489,'Equalização'!E:J,6,0)</f>
        <v>#N/A</v>
      </c>
    </row>
    <row r="490" ht="15.75" customHeight="1">
      <c r="C490" s="47">
        <v>164876.0</v>
      </c>
      <c r="D490" s="47" t="str">
        <f>VLOOKUP(C490,'Equalização'!E:J,6,0)</f>
        <v>#N/A</v>
      </c>
    </row>
    <row r="491" ht="15.75" customHeight="1">
      <c r="C491" s="47">
        <v>207245.0</v>
      </c>
      <c r="D491" s="47" t="str">
        <f>VLOOKUP(C491,'Equalização'!E:J,6,0)</f>
        <v>#N/A</v>
      </c>
    </row>
    <row r="492" ht="15.75" customHeight="1">
      <c r="C492" s="47">
        <v>97616.0</v>
      </c>
      <c r="D492" s="47" t="str">
        <f>VLOOKUP(C492,'Equalização'!E:J,6,0)</f>
        <v>#N/A</v>
      </c>
    </row>
    <row r="493" ht="15.75" customHeight="1">
      <c r="C493" s="47">
        <v>225907.0</v>
      </c>
      <c r="D493" s="47" t="str">
        <f>VLOOKUP(C493,'Equalização'!E:J,6,0)</f>
        <v>#N/A</v>
      </c>
    </row>
    <row r="494" ht="15.75" customHeight="1">
      <c r="C494" s="47">
        <v>156617.0</v>
      </c>
      <c r="D494" s="47" t="str">
        <f>VLOOKUP(C494,'Equalização'!E:J,6,0)</f>
        <v>#N/A</v>
      </c>
    </row>
    <row r="495" ht="15.75" customHeight="1">
      <c r="C495" s="47">
        <v>204705.0</v>
      </c>
      <c r="D495" s="47" t="str">
        <f>VLOOKUP(C495,'Equalização'!E:J,6,0)</f>
        <v>#N/A</v>
      </c>
    </row>
    <row r="496" ht="15.75" customHeight="1">
      <c r="C496" s="47">
        <v>208482.0</v>
      </c>
      <c r="D496" s="47" t="str">
        <f>VLOOKUP(C496,'Equalização'!E:J,6,0)</f>
        <v>#N/A</v>
      </c>
    </row>
    <row r="497" ht="15.75" customHeight="1">
      <c r="C497" s="47">
        <v>218532.0</v>
      </c>
      <c r="D497" s="47" t="str">
        <f>VLOOKUP(C497,'Equalização'!E:J,6,0)</f>
        <v>#N/A</v>
      </c>
    </row>
    <row r="498" ht="15.75" customHeight="1">
      <c r="C498" s="47">
        <v>237434.0</v>
      </c>
      <c r="D498" s="47" t="str">
        <f>VLOOKUP(C498,'Equalização'!E:J,6,0)</f>
        <v>#N/A</v>
      </c>
    </row>
    <row r="499" ht="15.75" customHeight="1">
      <c r="C499" s="47">
        <v>221612.0</v>
      </c>
      <c r="D499" s="47" t="str">
        <f>VLOOKUP(C499,'Equalização'!E:J,6,0)</f>
        <v>#N/A</v>
      </c>
    </row>
    <row r="500" ht="15.75" customHeight="1">
      <c r="C500" s="47">
        <v>225737.0</v>
      </c>
      <c r="D500" s="47" t="str">
        <f>VLOOKUP(C500,'Equalização'!E:J,6,0)</f>
        <v>#N/A</v>
      </c>
    </row>
    <row r="501" ht="15.75" customHeight="1">
      <c r="C501" s="47">
        <v>58025.0</v>
      </c>
      <c r="D501" s="47" t="str">
        <f>VLOOKUP(C501,'Equalização'!E:J,6,0)</f>
        <v>#N/A</v>
      </c>
    </row>
    <row r="502" ht="15.75" customHeight="1">
      <c r="C502" s="47">
        <v>225935.0</v>
      </c>
      <c r="D502" s="47" t="str">
        <f>VLOOKUP(C502,'Equalização'!E:J,6,0)</f>
        <v>#N/A</v>
      </c>
    </row>
    <row r="503" ht="15.75" customHeight="1">
      <c r="C503" s="47">
        <v>225736.0</v>
      </c>
      <c r="D503" s="47" t="str">
        <f>VLOOKUP(C503,'Equalização'!E:J,6,0)</f>
        <v>#N/A</v>
      </c>
    </row>
    <row r="504" ht="15.75" customHeight="1">
      <c r="C504" s="47">
        <v>205913.0</v>
      </c>
      <c r="D504" s="47" t="str">
        <f>VLOOKUP(C504,'Equalização'!E:J,6,0)</f>
        <v>#N/A</v>
      </c>
    </row>
    <row r="505" ht="15.75" customHeight="1">
      <c r="C505" s="47">
        <v>205999.0</v>
      </c>
      <c r="D505" s="47" t="str">
        <f>VLOOKUP(C505,'Equalização'!E:J,6,0)</f>
        <v>#N/A</v>
      </c>
    </row>
    <row r="506" ht="15.75" customHeight="1">
      <c r="C506" s="47">
        <v>204709.0</v>
      </c>
      <c r="D506" s="47" t="str">
        <f>VLOOKUP(C506,'Equalização'!E:J,6,0)</f>
        <v>#N/A</v>
      </c>
    </row>
    <row r="507" ht="15.75" customHeight="1">
      <c r="C507" s="47">
        <v>207278.0</v>
      </c>
      <c r="D507" s="47" t="str">
        <f>VLOOKUP(C507,'Equalização'!E:J,6,0)</f>
        <v>#N/A</v>
      </c>
    </row>
    <row r="508" ht="15.75" customHeight="1">
      <c r="C508" s="47">
        <v>225617.0</v>
      </c>
      <c r="D508" s="47" t="str">
        <f>VLOOKUP(C508,'Equalização'!E:J,6,0)</f>
        <v>#N/A</v>
      </c>
    </row>
    <row r="509" ht="15.75" customHeight="1">
      <c r="C509" s="47">
        <v>154196.0</v>
      </c>
      <c r="D509" s="47" t="str">
        <f>VLOOKUP(C509,'Equalização'!E:J,6,0)</f>
        <v>#N/A</v>
      </c>
    </row>
    <row r="510" ht="15.75" customHeight="1">
      <c r="C510" s="47">
        <v>207202.0</v>
      </c>
      <c r="D510" s="47" t="str">
        <f>VLOOKUP(C510,'Equalização'!E:J,6,0)</f>
        <v>#N/A</v>
      </c>
    </row>
    <row r="511" ht="15.75" customHeight="1">
      <c r="C511" s="47">
        <v>238434.0</v>
      </c>
      <c r="D511" s="47" t="str">
        <f>VLOOKUP(C511,'Equalização'!E:J,6,0)</f>
        <v>#N/A</v>
      </c>
    </row>
    <row r="512" ht="15.75" customHeight="1">
      <c r="C512" s="47">
        <v>207855.0</v>
      </c>
      <c r="D512" s="47" t="str">
        <f>VLOOKUP(C512,'Equalização'!E:J,6,0)</f>
        <v>#N/A</v>
      </c>
    </row>
    <row r="513" ht="15.75" customHeight="1">
      <c r="C513" s="47">
        <v>207756.0</v>
      </c>
      <c r="D513" s="47" t="str">
        <f>VLOOKUP(C513,'Equalização'!E:J,6,0)</f>
        <v>#N/A</v>
      </c>
    </row>
    <row r="514" ht="15.75" customHeight="1">
      <c r="C514" s="47">
        <v>221360.0</v>
      </c>
      <c r="D514" s="47" t="str">
        <f>VLOOKUP(C514,'Equalização'!E:J,6,0)</f>
        <v>#N/A</v>
      </c>
    </row>
    <row r="515" ht="15.75" customHeight="1">
      <c r="C515" s="47">
        <v>226230.0</v>
      </c>
      <c r="D515" s="47" t="str">
        <f>VLOOKUP(C515,'Equalização'!E:J,6,0)</f>
        <v>#N/A</v>
      </c>
    </row>
    <row r="516" ht="15.75" customHeight="1">
      <c r="C516" s="47">
        <v>57495.0</v>
      </c>
      <c r="D516" s="47" t="str">
        <f>VLOOKUP(C516,'Equalização'!E:J,6,0)</f>
        <v>#N/A</v>
      </c>
    </row>
    <row r="517" ht="15.75" customHeight="1">
      <c r="C517" s="47">
        <v>213025.0</v>
      </c>
      <c r="D517" s="47" t="str">
        <f>VLOOKUP(C517,'Equalização'!E:J,6,0)</f>
        <v>#N/A</v>
      </c>
    </row>
    <row r="518" ht="15.75" customHeight="1">
      <c r="C518" s="47">
        <v>236275.0</v>
      </c>
      <c r="D518" s="47" t="str">
        <f>VLOOKUP(C518,'Equalização'!E:J,6,0)</f>
        <v>#N/A</v>
      </c>
    </row>
    <row r="519" ht="15.75" customHeight="1">
      <c r="C519" s="47">
        <v>214044.0</v>
      </c>
      <c r="D519" s="47" t="str">
        <f>VLOOKUP(C519,'Equalização'!E:J,6,0)</f>
        <v>#N/A</v>
      </c>
    </row>
    <row r="520" ht="15.75" customHeight="1">
      <c r="C520" s="47">
        <v>214074.0</v>
      </c>
      <c r="D520" s="47" t="str">
        <f>VLOOKUP(C520,'Equalização'!E:J,6,0)</f>
        <v>#N/A</v>
      </c>
    </row>
    <row r="521" ht="15.75" customHeight="1">
      <c r="C521" s="47">
        <v>240058.0</v>
      </c>
      <c r="D521" s="47" t="str">
        <f>VLOOKUP(C521,'Equalização'!E:J,6,0)</f>
        <v>#N/A</v>
      </c>
    </row>
    <row r="522" ht="15.75" customHeight="1">
      <c r="C522" s="47">
        <v>200871.0</v>
      </c>
      <c r="D522" s="47" t="str">
        <f>VLOOKUP(C522,'Equalização'!E:J,6,0)</f>
        <v>#N/A</v>
      </c>
    </row>
    <row r="523" ht="15.75" customHeight="1">
      <c r="C523" s="47">
        <v>206048.0</v>
      </c>
      <c r="D523" s="47" t="str">
        <f>VLOOKUP(C523,'Equalização'!E:J,6,0)</f>
        <v>#N/A</v>
      </c>
    </row>
    <row r="524" ht="15.75" customHeight="1">
      <c r="C524" s="47">
        <v>227751.0</v>
      </c>
      <c r="D524" s="47" t="str">
        <f>VLOOKUP(C524,'Equalização'!E:J,6,0)</f>
        <v>#N/A</v>
      </c>
    </row>
    <row r="525" ht="15.75" customHeight="1">
      <c r="C525" s="47">
        <v>207131.0</v>
      </c>
      <c r="D525" s="47" t="str">
        <f>VLOOKUP(C525,'Equalização'!E:J,6,0)</f>
        <v>#N/A</v>
      </c>
    </row>
    <row r="526" ht="15.75" customHeight="1">
      <c r="C526" s="47">
        <v>225766.0</v>
      </c>
      <c r="D526" s="47" t="str">
        <f>VLOOKUP(C526,'Equalização'!E:J,6,0)</f>
        <v>#N/A</v>
      </c>
    </row>
    <row r="527" ht="15.75" customHeight="1">
      <c r="C527" s="47">
        <v>207188.0</v>
      </c>
      <c r="D527" s="47" t="str">
        <f>VLOOKUP(C527,'Equalização'!E:J,6,0)</f>
        <v>#N/A</v>
      </c>
    </row>
    <row r="528" ht="15.75" customHeight="1">
      <c r="C528" s="47">
        <v>211548.0</v>
      </c>
      <c r="D528" s="47" t="str">
        <f>VLOOKUP(C528,'Equalização'!E:J,6,0)</f>
        <v>#N/A</v>
      </c>
    </row>
    <row r="529" ht="15.75" customHeight="1">
      <c r="C529" s="47">
        <v>207203.0</v>
      </c>
      <c r="D529" s="47" t="str">
        <f>VLOOKUP(C529,'Equalização'!E:J,6,0)</f>
        <v>#N/A</v>
      </c>
    </row>
    <row r="530" ht="15.75" customHeight="1">
      <c r="C530" s="47">
        <v>207189.0</v>
      </c>
      <c r="D530" s="47" t="str">
        <f>VLOOKUP(C530,'Equalização'!E:J,6,0)</f>
        <v>#N/A</v>
      </c>
    </row>
    <row r="531" ht="15.75" customHeight="1">
      <c r="C531" s="47">
        <v>205935.0</v>
      </c>
      <c r="D531" s="47" t="str">
        <f>VLOOKUP(C531,'Equalização'!E:J,6,0)</f>
        <v>#N/A</v>
      </c>
    </row>
    <row r="532" ht="15.75" customHeight="1">
      <c r="C532" s="47">
        <v>211673.0</v>
      </c>
      <c r="D532" s="47" t="str">
        <f>VLOOKUP(C532,'Equalização'!E:J,6,0)</f>
        <v>#N/A</v>
      </c>
    </row>
    <row r="533" ht="15.75" customHeight="1">
      <c r="C533" s="47">
        <v>226182.0</v>
      </c>
      <c r="D533" s="47" t="str">
        <f>VLOOKUP(C533,'Equalização'!E:J,6,0)</f>
        <v>#N/A</v>
      </c>
    </row>
    <row r="534" ht="15.75" customHeight="1">
      <c r="C534" s="47">
        <v>207240.0</v>
      </c>
      <c r="D534" s="47" t="str">
        <f>VLOOKUP(C534,'Equalização'!E:J,6,0)</f>
        <v>#N/A</v>
      </c>
    </row>
    <row r="535" ht="15.75" customHeight="1">
      <c r="C535" s="47">
        <v>213064.0</v>
      </c>
      <c r="D535" s="47" t="str">
        <f>VLOOKUP(C535,'Equalização'!E:J,6,0)</f>
        <v>#N/A</v>
      </c>
    </row>
    <row r="536" ht="15.75" customHeight="1">
      <c r="C536" s="47">
        <v>236881.0</v>
      </c>
      <c r="D536" s="47" t="str">
        <f>VLOOKUP(C536,'Equalização'!E:J,6,0)</f>
        <v>#N/A</v>
      </c>
    </row>
    <row r="537" ht="15.75" customHeight="1">
      <c r="C537" s="47">
        <v>204718.0</v>
      </c>
      <c r="D537" s="47" t="str">
        <f>VLOOKUP(C537,'Equalização'!E:J,6,0)</f>
        <v>#N/A</v>
      </c>
    </row>
    <row r="538" ht="15.75" customHeight="1">
      <c r="C538" s="47">
        <v>225529.0</v>
      </c>
      <c r="D538" s="47" t="str">
        <f>VLOOKUP(C538,'Equalização'!E:J,6,0)</f>
        <v>#N/A</v>
      </c>
    </row>
    <row r="539" ht="15.75" customHeight="1">
      <c r="C539" s="47">
        <v>213507.0</v>
      </c>
      <c r="D539" s="47" t="str">
        <f>VLOOKUP(C539,'Equalização'!E:J,6,0)</f>
        <v>#N/A</v>
      </c>
    </row>
    <row r="540" ht="15.75" customHeight="1">
      <c r="C540" s="47">
        <v>207158.0</v>
      </c>
      <c r="D540" s="47" t="str">
        <f>VLOOKUP(C540,'Equalização'!E:J,6,0)</f>
        <v>#N/A</v>
      </c>
    </row>
    <row r="541" ht="15.75" customHeight="1">
      <c r="C541" s="47">
        <v>178061.0</v>
      </c>
      <c r="D541" s="47" t="str">
        <f>VLOOKUP(C541,'Equalização'!E:J,6,0)</f>
        <v>#N/A</v>
      </c>
    </row>
    <row r="542" ht="15.75" customHeight="1">
      <c r="C542" s="47">
        <v>225745.0</v>
      </c>
      <c r="D542" s="47" t="str">
        <f>VLOOKUP(C542,'Equalização'!E:J,6,0)</f>
        <v>#N/A</v>
      </c>
    </row>
    <row r="543" ht="15.75" customHeight="1">
      <c r="C543" s="47">
        <v>237276.0</v>
      </c>
      <c r="D543" s="47" t="str">
        <f>VLOOKUP(C543,'Equalização'!E:J,6,0)</f>
        <v>#N/A</v>
      </c>
    </row>
    <row r="544" ht="15.75" customHeight="1">
      <c r="C544" s="47">
        <v>172070.0</v>
      </c>
      <c r="D544" s="47" t="str">
        <f>VLOOKUP(C544,'Equalização'!E:J,6,0)</f>
        <v>#N/A</v>
      </c>
    </row>
    <row r="545" ht="15.75" customHeight="1">
      <c r="C545" s="47">
        <v>206377.0</v>
      </c>
      <c r="D545" s="47" t="str">
        <f>VLOOKUP(C545,'Equalização'!E:J,6,0)</f>
        <v>#N/A</v>
      </c>
    </row>
    <row r="546" ht="15.75" customHeight="1">
      <c r="C546" s="47">
        <v>155297.0</v>
      </c>
      <c r="D546" s="47" t="str">
        <f>VLOOKUP(C546,'Equalização'!E:J,6,0)</f>
        <v>#N/A</v>
      </c>
    </row>
    <row r="547" ht="15.75" customHeight="1">
      <c r="C547" s="47">
        <v>146706.0</v>
      </c>
      <c r="D547" s="47" t="str">
        <f>VLOOKUP(C547,'Equalização'!E:J,6,0)</f>
        <v>#N/A</v>
      </c>
    </row>
    <row r="548" ht="15.75" customHeight="1">
      <c r="C548" s="47">
        <v>225664.0</v>
      </c>
      <c r="D548" s="47" t="str">
        <f>VLOOKUP(C548,'Equalização'!E:J,6,0)</f>
        <v>#N/A</v>
      </c>
    </row>
    <row r="549" ht="15.75" customHeight="1">
      <c r="C549" s="47">
        <v>205916.0</v>
      </c>
      <c r="D549" s="47" t="str">
        <f>VLOOKUP(C549,'Equalização'!E:J,6,0)</f>
        <v>#N/A</v>
      </c>
    </row>
    <row r="550" ht="15.75" customHeight="1">
      <c r="C550" s="47">
        <v>223352.0</v>
      </c>
      <c r="D550" s="47" t="str">
        <f>VLOOKUP(C550,'Equalização'!E:J,6,0)</f>
        <v>#N/A</v>
      </c>
    </row>
    <row r="551" ht="15.75" customHeight="1">
      <c r="C551" s="47">
        <v>236462.0</v>
      </c>
      <c r="D551" s="47" t="str">
        <f>VLOOKUP(C551,'Equalização'!E:J,6,0)</f>
        <v>#N/A</v>
      </c>
    </row>
    <row r="552" ht="15.75" customHeight="1">
      <c r="C552" s="47">
        <v>207133.0</v>
      </c>
      <c r="D552" s="47" t="str">
        <f>VLOOKUP(C552,'Equalização'!E:J,6,0)</f>
        <v>#N/A</v>
      </c>
    </row>
    <row r="553" ht="15.75" customHeight="1">
      <c r="C553" s="47">
        <v>203567.0</v>
      </c>
      <c r="D553" s="47" t="str">
        <f>VLOOKUP(C553,'Equalização'!E:J,6,0)</f>
        <v>#N/A</v>
      </c>
    </row>
    <row r="554" ht="15.75" customHeight="1">
      <c r="C554" s="47">
        <v>226663.0</v>
      </c>
      <c r="D554" s="47" t="str">
        <f>VLOOKUP(C554,'Equalização'!E:J,6,0)</f>
        <v>#N/A</v>
      </c>
    </row>
    <row r="555" ht="15.75" customHeight="1">
      <c r="C555" s="47">
        <v>225938.0</v>
      </c>
      <c r="D555" s="47" t="str">
        <f>VLOOKUP(C555,'Equalização'!E:J,6,0)</f>
        <v>#N/A</v>
      </c>
    </row>
    <row r="556" ht="15.75" customHeight="1">
      <c r="C556" s="47">
        <v>225568.0</v>
      </c>
      <c r="D556" s="47" t="str">
        <f>VLOOKUP(C556,'Equalização'!E:J,6,0)</f>
        <v>#N/A</v>
      </c>
    </row>
    <row r="557" ht="15.75" customHeight="1">
      <c r="C557" s="47">
        <v>204765.0</v>
      </c>
      <c r="D557" s="47" t="str">
        <f>VLOOKUP(C557,'Equalização'!E:J,6,0)</f>
        <v>#N/A</v>
      </c>
    </row>
    <row r="558" ht="15.75" customHeight="1">
      <c r="C558" s="47">
        <v>215484.0</v>
      </c>
      <c r="D558" s="47" t="str">
        <f>VLOOKUP(C558,'Equalização'!E:J,6,0)</f>
        <v>#N/A</v>
      </c>
    </row>
    <row r="559" ht="15.75" customHeight="1">
      <c r="C559" s="47">
        <v>152674.0</v>
      </c>
      <c r="D559" s="47" t="str">
        <f>VLOOKUP(C559,'Equalização'!E:J,6,0)</f>
        <v>#N/A</v>
      </c>
    </row>
    <row r="560" ht="15.75" customHeight="1">
      <c r="C560" s="47">
        <v>207280.0</v>
      </c>
      <c r="D560" s="47" t="str">
        <f>VLOOKUP(C560,'Equalização'!E:J,6,0)</f>
        <v>#N/A</v>
      </c>
    </row>
    <row r="561" ht="15.75" customHeight="1">
      <c r="C561" s="47">
        <v>84956.0</v>
      </c>
      <c r="D561" s="47" t="str">
        <f>VLOOKUP(C561,'Equalização'!E:J,6,0)</f>
        <v>#N/A</v>
      </c>
    </row>
    <row r="562" ht="15.75" customHeight="1">
      <c r="C562" s="47">
        <v>205796.0</v>
      </c>
      <c r="D562" s="47" t="str">
        <f>VLOOKUP(C562,'Equalização'!E:J,6,0)</f>
        <v>#N/A</v>
      </c>
    </row>
    <row r="563" ht="15.75" customHeight="1">
      <c r="C563" s="47">
        <v>149495.0</v>
      </c>
      <c r="D563" s="47" t="str">
        <f>VLOOKUP(C563,'Equalização'!E:J,6,0)</f>
        <v>#N/A</v>
      </c>
    </row>
    <row r="564" ht="15.75" customHeight="1">
      <c r="C564" s="47">
        <v>212008.0</v>
      </c>
      <c r="D564" s="47" t="str">
        <f>VLOOKUP(C564,'Equalização'!E:J,6,0)</f>
        <v>#N/A</v>
      </c>
    </row>
    <row r="565" ht="15.75" customHeight="1">
      <c r="C565" s="47">
        <v>200872.0</v>
      </c>
      <c r="D565" s="47" t="str">
        <f>VLOOKUP(C565,'Equalização'!E:J,6,0)</f>
        <v>#N/A</v>
      </c>
    </row>
    <row r="566" ht="15.75" customHeight="1">
      <c r="C566" s="47">
        <v>214115.0</v>
      </c>
      <c r="D566" s="47" t="str">
        <f>VLOOKUP(C566,'Equalização'!E:J,6,0)</f>
        <v>#N/A</v>
      </c>
    </row>
    <row r="567" ht="15.75" customHeight="1">
      <c r="C567" s="47">
        <v>83801.0</v>
      </c>
      <c r="D567" s="47" t="str">
        <f>VLOOKUP(C567,'Equalização'!E:J,6,0)</f>
        <v>#N/A</v>
      </c>
    </row>
    <row r="568" ht="15.75" customHeight="1">
      <c r="C568" s="47">
        <v>205524.0</v>
      </c>
      <c r="D568" s="47" t="str">
        <f>VLOOKUP(C568,'Equalização'!E:J,6,0)</f>
        <v>#N/A</v>
      </c>
    </row>
    <row r="569" ht="15.75" customHeight="1">
      <c r="C569" s="47">
        <v>204770.0</v>
      </c>
      <c r="D569" s="47" t="str">
        <f>VLOOKUP(C569,'Equalização'!E:J,6,0)</f>
        <v>#N/A</v>
      </c>
    </row>
    <row r="570" ht="15.75" customHeight="1">
      <c r="C570" s="47">
        <v>225572.0</v>
      </c>
      <c r="D570" s="47" t="str">
        <f>VLOOKUP(C570,'Equalização'!E:J,6,0)</f>
        <v>#N/A</v>
      </c>
    </row>
    <row r="571" ht="15.75" customHeight="1">
      <c r="C571" s="47">
        <v>225947.0</v>
      </c>
      <c r="D571" s="47" t="str">
        <f>VLOOKUP(C571,'Equalização'!E:J,6,0)</f>
        <v>#N/A</v>
      </c>
    </row>
    <row r="572" ht="15.75" customHeight="1">
      <c r="C572" s="47">
        <v>211652.0</v>
      </c>
      <c r="D572" s="47" t="str">
        <f>VLOOKUP(C572,'Equalização'!E:J,6,0)</f>
        <v>#N/A</v>
      </c>
    </row>
    <row r="573" ht="15.75" customHeight="1">
      <c r="C573" s="47">
        <v>217079.0</v>
      </c>
      <c r="D573" s="47" t="str">
        <f>VLOOKUP(C573,'Equalização'!E:J,6,0)</f>
        <v>#N/A</v>
      </c>
    </row>
    <row r="574" ht="15.75" customHeight="1">
      <c r="C574" s="47">
        <v>207816.0</v>
      </c>
      <c r="D574" s="47" t="str">
        <f>VLOOKUP(C574,'Equalização'!E:J,6,0)</f>
        <v>#N/A</v>
      </c>
    </row>
    <row r="575" ht="15.75" customHeight="1">
      <c r="C575" s="47">
        <v>154200.0</v>
      </c>
      <c r="D575" s="47" t="str">
        <f>VLOOKUP(C575,'Equalização'!E:J,6,0)</f>
        <v>#N/A</v>
      </c>
    </row>
    <row r="576" ht="15.75" customHeight="1">
      <c r="C576" s="47">
        <v>207267.0</v>
      </c>
      <c r="D576" s="47" t="str">
        <f>VLOOKUP(C576,'Equalização'!E:J,6,0)</f>
        <v>#N/A</v>
      </c>
    </row>
    <row r="577" ht="15.75" customHeight="1">
      <c r="C577" s="47">
        <v>169181.0</v>
      </c>
      <c r="D577" s="47" t="str">
        <f>VLOOKUP(C577,'Equalização'!E:J,6,0)</f>
        <v>#N/A</v>
      </c>
    </row>
    <row r="578" ht="15.75" customHeight="1">
      <c r="C578" s="47">
        <v>214527.0</v>
      </c>
      <c r="D578" s="47" t="str">
        <f>VLOOKUP(C578,'Equalização'!E:J,6,0)</f>
        <v>#N/A</v>
      </c>
    </row>
    <row r="579" ht="15.75" customHeight="1">
      <c r="C579" s="47">
        <v>152629.0</v>
      </c>
      <c r="D579" s="47" t="str">
        <f>VLOOKUP(C579,'Equalização'!E:J,6,0)</f>
        <v>#N/A</v>
      </c>
    </row>
    <row r="580" ht="15.75" customHeight="1">
      <c r="C580" s="47">
        <v>225723.0</v>
      </c>
      <c r="D580" s="47" t="str">
        <f>VLOOKUP(C580,'Equalização'!E:J,6,0)</f>
        <v>#N/A</v>
      </c>
    </row>
    <row r="581" ht="15.75" customHeight="1">
      <c r="C581" s="47">
        <v>225697.0</v>
      </c>
      <c r="D581" s="47" t="str">
        <f>VLOOKUP(C581,'Equalização'!E:J,6,0)</f>
        <v>#N/A</v>
      </c>
    </row>
    <row r="582" ht="15.75" customHeight="1">
      <c r="C582" s="47">
        <v>204677.0</v>
      </c>
      <c r="D582" s="47" t="str">
        <f>VLOOKUP(C582,'Equalização'!E:J,6,0)</f>
        <v>#N/A</v>
      </c>
    </row>
    <row r="583" ht="15.75" customHeight="1">
      <c r="C583" s="47">
        <v>214061.0</v>
      </c>
      <c r="D583" s="47" t="str">
        <f>VLOOKUP(C583,'Equalização'!E:J,6,0)</f>
        <v>#N/A</v>
      </c>
    </row>
    <row r="584" ht="15.75" customHeight="1">
      <c r="C584" s="47">
        <v>207139.0</v>
      </c>
      <c r="D584" s="47" t="str">
        <f>VLOOKUP(C584,'Equalização'!E:J,6,0)</f>
        <v>#N/A</v>
      </c>
    </row>
    <row r="585" ht="15.75" customHeight="1">
      <c r="C585" s="47">
        <v>223371.0</v>
      </c>
      <c r="D585" s="47" t="str">
        <f>VLOOKUP(C585,'Equalização'!E:J,6,0)</f>
        <v>#N/A</v>
      </c>
    </row>
    <row r="586" ht="15.75" customHeight="1">
      <c r="C586" s="47">
        <v>213058.0</v>
      </c>
      <c r="D586" s="47" t="str">
        <f>VLOOKUP(C586,'Equalização'!E:J,6,0)</f>
        <v>#N/A</v>
      </c>
    </row>
    <row r="587" ht="15.75" customHeight="1">
      <c r="C587" s="47">
        <v>161077.0</v>
      </c>
      <c r="D587" s="47" t="str">
        <f>VLOOKUP(C587,'Equalização'!E:J,6,0)</f>
        <v>#N/A</v>
      </c>
    </row>
    <row r="588" ht="15.75" customHeight="1">
      <c r="C588" s="47">
        <v>118456.0</v>
      </c>
      <c r="D588" s="47" t="str">
        <f>VLOOKUP(C588,'Equalização'!E:J,6,0)</f>
        <v>#N/A</v>
      </c>
    </row>
    <row r="589" ht="15.75" customHeight="1">
      <c r="C589" s="47">
        <v>225917.0</v>
      </c>
      <c r="D589" s="47" t="str">
        <f>VLOOKUP(C589,'Equalização'!E:J,6,0)</f>
        <v>#N/A</v>
      </c>
    </row>
    <row r="590" ht="15.75" customHeight="1">
      <c r="C590" s="47">
        <v>225726.0</v>
      </c>
      <c r="D590" s="47" t="str">
        <f>VLOOKUP(C590,'Equalização'!E:J,6,0)</f>
        <v>#N/A</v>
      </c>
    </row>
    <row r="591" ht="15.75" customHeight="1">
      <c r="C591" s="47">
        <v>223312.0</v>
      </c>
      <c r="D591" s="47" t="str">
        <f>VLOOKUP(C591,'Equalização'!E:J,6,0)</f>
        <v>#N/A</v>
      </c>
    </row>
    <row r="592" ht="15.75" customHeight="1">
      <c r="C592" s="47">
        <v>238043.0</v>
      </c>
      <c r="D592" s="47" t="str">
        <f>VLOOKUP(C592,'Equalização'!E:J,6,0)</f>
        <v>#N/A</v>
      </c>
    </row>
    <row r="593" ht="15.75" customHeight="1">
      <c r="C593" s="47">
        <v>225965.0</v>
      </c>
      <c r="D593" s="47" t="str">
        <f>VLOOKUP(C593,'Equalização'!E:J,6,0)</f>
        <v>#N/A</v>
      </c>
    </row>
    <row r="594" ht="15.75" customHeight="1">
      <c r="C594" s="47">
        <v>213729.0</v>
      </c>
      <c r="D594" s="47" t="str">
        <f>VLOOKUP(C594,'Equalização'!E:J,6,0)</f>
        <v>#N/A</v>
      </c>
    </row>
    <row r="595" ht="15.75" customHeight="1">
      <c r="C595" s="47">
        <v>225599.0</v>
      </c>
      <c r="D595" s="47" t="str">
        <f>VLOOKUP(C595,'Equalização'!E:J,6,0)</f>
        <v>#N/A</v>
      </c>
    </row>
    <row r="596" ht="15.75" customHeight="1">
      <c r="C596" s="47">
        <v>207137.0</v>
      </c>
      <c r="D596" s="47" t="str">
        <f>VLOOKUP(C596,'Equalização'!E:J,6,0)</f>
        <v>#N/A</v>
      </c>
    </row>
    <row r="597" ht="15.75" customHeight="1">
      <c r="C597" s="47">
        <v>213185.0</v>
      </c>
      <c r="D597" s="47" t="str">
        <f>VLOOKUP(C597,'Equalização'!E:J,6,0)</f>
        <v>#N/A</v>
      </c>
    </row>
    <row r="598" ht="15.75" customHeight="1">
      <c r="C598" s="47">
        <v>83542.0</v>
      </c>
      <c r="D598" s="47" t="str">
        <f>VLOOKUP(C598,'Equalização'!E:J,6,0)</f>
        <v>#N/A</v>
      </c>
    </row>
    <row r="599" ht="15.75" customHeight="1">
      <c r="C599" s="47">
        <v>210682.0</v>
      </c>
      <c r="D599" s="47" t="str">
        <f>VLOOKUP(C599,'Equalização'!E:J,6,0)</f>
        <v>#N/A</v>
      </c>
    </row>
    <row r="600" ht="15.75" customHeight="1">
      <c r="C600" s="47">
        <v>209576.0</v>
      </c>
      <c r="D600" s="47" t="str">
        <f>VLOOKUP(C600,'Equalização'!E:J,6,0)</f>
        <v>#N/A</v>
      </c>
    </row>
    <row r="601" ht="15.75" customHeight="1">
      <c r="C601" s="47">
        <v>225728.0</v>
      </c>
      <c r="D601" s="47" t="str">
        <f>VLOOKUP(C601,'Equalização'!E:J,6,0)</f>
        <v>#N/A</v>
      </c>
    </row>
    <row r="602" ht="15.75" customHeight="1">
      <c r="C602" s="47">
        <v>209905.0</v>
      </c>
      <c r="D602" s="47" t="str">
        <f>VLOOKUP(C602,'Equalização'!E:J,6,0)</f>
        <v>#N/A</v>
      </c>
    </row>
    <row r="603" ht="15.75" customHeight="1">
      <c r="C603" s="47">
        <v>213171.0</v>
      </c>
      <c r="D603" s="47" t="str">
        <f>VLOOKUP(C603,'Equalização'!E:J,6,0)</f>
        <v>#N/A</v>
      </c>
    </row>
    <row r="604" ht="15.75" customHeight="1">
      <c r="C604" s="47">
        <v>204801.0</v>
      </c>
      <c r="D604" s="47" t="str">
        <f>VLOOKUP(C604,'Equalização'!E:J,6,0)</f>
        <v>#N/A</v>
      </c>
    </row>
    <row r="605" ht="15.75" customHeight="1">
      <c r="C605" s="47">
        <v>224822.0</v>
      </c>
      <c r="D605" s="47" t="str">
        <f>VLOOKUP(C605,'Equalização'!E:J,6,0)</f>
        <v>#N/A</v>
      </c>
    </row>
    <row r="606" ht="15.75" customHeight="1">
      <c r="C606" s="47">
        <v>214058.0</v>
      </c>
      <c r="D606" s="47" t="str">
        <f>VLOOKUP(C606,'Equalização'!E:J,6,0)</f>
        <v>#N/A</v>
      </c>
    </row>
    <row r="607" ht="15.75" customHeight="1">
      <c r="C607" s="47">
        <v>213625.0</v>
      </c>
      <c r="D607" s="47" t="str">
        <f>VLOOKUP(C607,'Equalização'!E:J,6,0)</f>
        <v>#N/A</v>
      </c>
    </row>
    <row r="608" ht="15.75" customHeight="1">
      <c r="C608" s="47">
        <v>205823.0</v>
      </c>
      <c r="D608" s="47" t="str">
        <f>VLOOKUP(C608,'Equalização'!E:J,6,0)</f>
        <v>#N/A</v>
      </c>
    </row>
    <row r="609" ht="15.75" customHeight="1">
      <c r="C609" s="47">
        <v>165748.0</v>
      </c>
      <c r="D609" s="47" t="str">
        <f>VLOOKUP(C609,'Equalização'!E:J,6,0)</f>
        <v>#N/A</v>
      </c>
    </row>
    <row r="610" ht="15.75" customHeight="1">
      <c r="C610" s="47">
        <v>204943.0</v>
      </c>
      <c r="D610" s="47" t="str">
        <f>VLOOKUP(C610,'Equalização'!E:J,6,0)</f>
        <v>#N/A</v>
      </c>
    </row>
    <row r="611" ht="15.75" customHeight="1">
      <c r="C611" s="47">
        <v>207266.0</v>
      </c>
      <c r="D611" s="47" t="str">
        <f>VLOOKUP(C611,'Equalização'!E:J,6,0)</f>
        <v>#N/A</v>
      </c>
    </row>
    <row r="612" ht="15.75" customHeight="1">
      <c r="C612" s="47">
        <v>163661.0</v>
      </c>
      <c r="D612" s="47" t="str">
        <f>VLOOKUP(C612,'Equalização'!E:J,6,0)</f>
        <v>#N/A</v>
      </c>
    </row>
    <row r="613" ht="15.75" customHeight="1">
      <c r="C613" s="47">
        <v>213804.0</v>
      </c>
      <c r="D613" s="47" t="str">
        <f>VLOOKUP(C613,'Equalização'!E:J,6,0)</f>
        <v>#N/A</v>
      </c>
    </row>
    <row r="614" ht="15.75" customHeight="1">
      <c r="C614" s="47">
        <v>207200.0</v>
      </c>
      <c r="D614" s="47" t="str">
        <f>VLOOKUP(C614,'Equalização'!E:J,6,0)</f>
        <v>#N/A</v>
      </c>
    </row>
    <row r="615" ht="15.75" customHeight="1">
      <c r="C615" s="47">
        <v>171554.0</v>
      </c>
      <c r="D615" s="47" t="str">
        <f>VLOOKUP(C615,'Equalização'!E:J,6,0)</f>
        <v>#N/A</v>
      </c>
    </row>
    <row r="616" ht="15.75" customHeight="1">
      <c r="C616" s="47">
        <v>55751.0</v>
      </c>
      <c r="D616" s="47" t="str">
        <f>VLOOKUP(C616,'Equalização'!E:J,6,0)</f>
        <v>#N/A</v>
      </c>
    </row>
    <row r="617" ht="15.75" customHeight="1">
      <c r="C617" s="47">
        <v>56570.0</v>
      </c>
      <c r="D617" s="47" t="str">
        <f>VLOOKUP(C617,'Equalização'!E:J,6,0)</f>
        <v>#N/A</v>
      </c>
    </row>
    <row r="618" ht="15.75" customHeight="1">
      <c r="C618" s="47">
        <v>165208.0</v>
      </c>
      <c r="D618" s="47" t="str">
        <f>VLOOKUP(C618,'Equalização'!E:J,6,0)</f>
        <v>#N/A</v>
      </c>
    </row>
    <row r="619" ht="15.75" customHeight="1">
      <c r="C619" s="47">
        <v>204703.0</v>
      </c>
      <c r="D619" s="47" t="str">
        <f>VLOOKUP(C619,'Equalização'!E:J,6,0)</f>
        <v>#N/A</v>
      </c>
    </row>
    <row r="620" ht="15.75" customHeight="1">
      <c r="C620" s="47">
        <v>222440.0</v>
      </c>
      <c r="D620" s="47" t="str">
        <f>VLOOKUP(C620,'Equalização'!E:J,6,0)</f>
        <v>#N/A</v>
      </c>
    </row>
    <row r="621" ht="15.75" customHeight="1">
      <c r="C621" s="47">
        <v>207136.0</v>
      </c>
      <c r="D621" s="47" t="str">
        <f>VLOOKUP(C621,'Equalização'!E:J,6,0)</f>
        <v>#N/A</v>
      </c>
    </row>
    <row r="622" ht="15.75" customHeight="1">
      <c r="C622" s="47">
        <v>213516.0</v>
      </c>
      <c r="D622" s="47" t="str">
        <f>VLOOKUP(C622,'Equalização'!E:J,6,0)</f>
        <v>#N/A</v>
      </c>
    </row>
    <row r="623" ht="15.75" customHeight="1">
      <c r="C623" s="47">
        <v>207197.0</v>
      </c>
      <c r="D623" s="47" t="str">
        <f>VLOOKUP(C623,'Equalização'!E:J,6,0)</f>
        <v>#N/A</v>
      </c>
    </row>
    <row r="624" ht="15.75" customHeight="1">
      <c r="C624" s="47">
        <v>223363.0</v>
      </c>
      <c r="D624" s="47" t="str">
        <f>VLOOKUP(C624,'Equalização'!E:J,6,0)</f>
        <v>#N/A</v>
      </c>
    </row>
    <row r="625" ht="15.75" customHeight="1">
      <c r="C625" s="47">
        <v>225868.0</v>
      </c>
      <c r="D625" s="47" t="str">
        <f>VLOOKUP(C625,'Equalização'!E:J,6,0)</f>
        <v>#N/A</v>
      </c>
    </row>
    <row r="626" ht="15.75" customHeight="1">
      <c r="C626" s="47">
        <v>225884.0</v>
      </c>
      <c r="D626" s="47" t="str">
        <f>VLOOKUP(C626,'Equalização'!E:J,6,0)</f>
        <v>#N/A</v>
      </c>
    </row>
    <row r="627" ht="15.75" customHeight="1">
      <c r="C627" s="47">
        <v>224097.0</v>
      </c>
      <c r="D627" s="47" t="str">
        <f>VLOOKUP(C627,'Equalização'!E:J,6,0)</f>
        <v>#N/A</v>
      </c>
    </row>
    <row r="628" ht="15.75" customHeight="1">
      <c r="C628" s="47">
        <v>211650.0</v>
      </c>
      <c r="D628" s="47" t="str">
        <f>VLOOKUP(C628,'Equalização'!E:J,6,0)</f>
        <v>#N/A</v>
      </c>
    </row>
    <row r="629" ht="15.75" customHeight="1">
      <c r="C629" s="47">
        <v>226215.0</v>
      </c>
      <c r="D629" s="47" t="str">
        <f>VLOOKUP(C629,'Equalização'!E:J,6,0)</f>
        <v>#N/A</v>
      </c>
    </row>
    <row r="630" ht="15.75" customHeight="1">
      <c r="C630" s="47">
        <v>207194.0</v>
      </c>
      <c r="D630" s="47" t="str">
        <f>VLOOKUP(C630,'Equalização'!E:J,6,0)</f>
        <v>#N/A</v>
      </c>
    </row>
    <row r="631" ht="15.75" customHeight="1">
      <c r="C631" s="47">
        <v>206081.0</v>
      </c>
      <c r="D631" s="47" t="str">
        <f>VLOOKUP(C631,'Equalização'!E:J,6,0)</f>
        <v>#N/A</v>
      </c>
    </row>
    <row r="632" ht="15.75" customHeight="1">
      <c r="C632" s="47">
        <v>65102.0</v>
      </c>
      <c r="D632" s="47" t="str">
        <f>VLOOKUP(C632,'Equalização'!E:J,6,0)</f>
        <v>#N/A</v>
      </c>
    </row>
    <row r="633" ht="15.75" customHeight="1">
      <c r="C633" s="47">
        <v>168805.0</v>
      </c>
      <c r="D633" s="47" t="str">
        <f>VLOOKUP(C633,'Equalização'!E:J,6,0)</f>
        <v>#N/A</v>
      </c>
    </row>
    <row r="634" ht="15.75" customHeight="1">
      <c r="C634" s="47">
        <v>199812.0</v>
      </c>
      <c r="D634" s="47" t="str">
        <f>VLOOKUP(C634,'Equalização'!E:J,6,0)</f>
        <v>#N/A</v>
      </c>
    </row>
    <row r="635" ht="15.75" customHeight="1">
      <c r="C635" s="47">
        <v>230735.0</v>
      </c>
      <c r="D635" s="47" t="str">
        <f>VLOOKUP(C635,'Equalização'!E:J,6,0)</f>
        <v>#N/A</v>
      </c>
    </row>
    <row r="636" ht="15.75" customHeight="1">
      <c r="C636" s="47">
        <v>149269.0</v>
      </c>
      <c r="D636" s="47" t="str">
        <f>VLOOKUP(C636,'Equalização'!E:J,6,0)</f>
        <v>#N/A</v>
      </c>
    </row>
    <row r="637" ht="15.75" customHeight="1">
      <c r="C637" s="47">
        <v>206868.0</v>
      </c>
      <c r="D637" s="47" t="str">
        <f>VLOOKUP(C637,'Equalização'!E:J,6,0)</f>
        <v>#N/A</v>
      </c>
    </row>
    <row r="638" ht="15.75" customHeight="1">
      <c r="C638" s="47">
        <v>206871.0</v>
      </c>
      <c r="D638" s="47" t="str">
        <f>VLOOKUP(C638,'Equalização'!E:J,6,0)</f>
        <v>#N/A</v>
      </c>
    </row>
    <row r="639" ht="15.75" customHeight="1">
      <c r="C639" s="47">
        <v>206872.0</v>
      </c>
      <c r="D639" s="47" t="str">
        <f>VLOOKUP(C639,'Equalização'!E:J,6,0)</f>
        <v>#N/A</v>
      </c>
    </row>
    <row r="640" ht="15.75" customHeight="1">
      <c r="C640" s="47">
        <v>223372.0</v>
      </c>
      <c r="D640" s="47" t="str">
        <f>VLOOKUP(C640,'Equalização'!E:J,6,0)</f>
        <v>#N/A</v>
      </c>
    </row>
    <row r="641" ht="15.75" customHeight="1">
      <c r="C641" s="47">
        <v>204717.0</v>
      </c>
      <c r="D641" s="47" t="str">
        <f>VLOOKUP(C641,'Equalização'!E:J,6,0)</f>
        <v>#N/A</v>
      </c>
    </row>
    <row r="642" ht="15.75" customHeight="1">
      <c r="C642" s="47">
        <v>158499.0</v>
      </c>
      <c r="D642" s="47" t="str">
        <f>VLOOKUP(C642,'Equalização'!E:J,6,0)</f>
        <v>#N/A</v>
      </c>
    </row>
    <row r="643" ht="15.75" customHeight="1">
      <c r="C643" s="47">
        <v>207205.0</v>
      </c>
      <c r="D643" s="47" t="str">
        <f>VLOOKUP(C643,'Equalização'!E:J,6,0)</f>
        <v>#N/A</v>
      </c>
    </row>
    <row r="644" ht="15.75" customHeight="1">
      <c r="C644" s="47">
        <v>226318.0</v>
      </c>
      <c r="D644" s="47" t="str">
        <f>VLOOKUP(C644,'Equalização'!E:J,6,0)</f>
        <v>#N/A</v>
      </c>
    </row>
    <row r="645" ht="15.75" customHeight="1">
      <c r="C645" s="47">
        <v>208571.0</v>
      </c>
      <c r="D645" s="47" t="str">
        <f>VLOOKUP(C645,'Equalização'!E:J,6,0)</f>
        <v>#N/A</v>
      </c>
    </row>
    <row r="646" ht="15.75" customHeight="1">
      <c r="C646" s="47">
        <v>169204.0</v>
      </c>
      <c r="D646" s="47" t="str">
        <f>VLOOKUP(C646,'Equalização'!E:J,6,0)</f>
        <v>#N/A</v>
      </c>
    </row>
    <row r="647" ht="15.75" customHeight="1">
      <c r="C647" s="47">
        <v>225864.0</v>
      </c>
      <c r="D647" s="47" t="str">
        <f>VLOOKUP(C647,'Equalização'!E:J,6,0)</f>
        <v>#N/A</v>
      </c>
    </row>
    <row r="648" ht="15.75" customHeight="1">
      <c r="C648" s="47">
        <v>36854.0</v>
      </c>
      <c r="D648" s="47" t="str">
        <f>VLOOKUP(C648,'Equalização'!E:J,6,0)</f>
        <v>#N/A</v>
      </c>
    </row>
    <row r="649" ht="15.75" customHeight="1">
      <c r="C649" s="47">
        <v>225693.0</v>
      </c>
      <c r="D649" s="47" t="str">
        <f>VLOOKUP(C649,'Equalização'!E:J,6,0)</f>
        <v>#N/A</v>
      </c>
    </row>
    <row r="650" ht="15.75" customHeight="1">
      <c r="C650" s="47">
        <v>168792.0</v>
      </c>
      <c r="D650" s="47" t="str">
        <f>VLOOKUP(C650,'Equalização'!E:J,6,0)</f>
        <v>#N/A</v>
      </c>
    </row>
    <row r="651" ht="15.75" customHeight="1">
      <c r="C651" s="47">
        <v>158257.0</v>
      </c>
      <c r="D651" s="47" t="str">
        <f>VLOOKUP(C651,'Equalização'!E:J,6,0)</f>
        <v>#N/A</v>
      </c>
    </row>
    <row r="652" ht="15.75" customHeight="1">
      <c r="C652" s="47">
        <v>179709.0</v>
      </c>
      <c r="D652" s="47" t="str">
        <f>VLOOKUP(C652,'Equalização'!E:J,6,0)</f>
        <v>#N/A</v>
      </c>
    </row>
    <row r="653" ht="15.75" customHeight="1">
      <c r="C653" s="47">
        <v>96598.0</v>
      </c>
      <c r="D653" s="47" t="str">
        <f>VLOOKUP(C653,'Equalização'!E:J,6,0)</f>
        <v>#N/A</v>
      </c>
    </row>
    <row r="654" ht="15.75" customHeight="1">
      <c r="C654" s="47">
        <v>120949.0</v>
      </c>
      <c r="D654" s="47" t="str">
        <f>VLOOKUP(C654,'Equalização'!E:J,6,0)</f>
        <v>#N/A</v>
      </c>
    </row>
    <row r="655" ht="15.75" customHeight="1">
      <c r="C655" s="47">
        <v>221426.0</v>
      </c>
      <c r="D655" s="47" t="str">
        <f>VLOOKUP(C655,'Equalização'!E:J,6,0)</f>
        <v>#N/A</v>
      </c>
    </row>
    <row r="656" ht="15.75" customHeight="1">
      <c r="C656" s="47">
        <v>236734.0</v>
      </c>
      <c r="D656" s="47" t="str">
        <f>VLOOKUP(C656,'Equalização'!E:J,6,0)</f>
        <v>#N/A</v>
      </c>
    </row>
    <row r="657" ht="15.75" customHeight="1">
      <c r="C657" s="47">
        <v>225436.0</v>
      </c>
      <c r="D657" s="47" t="str">
        <f>VLOOKUP(C657,'Equalização'!E:J,6,0)</f>
        <v>#N/A</v>
      </c>
    </row>
    <row r="658" ht="15.75" customHeight="1">
      <c r="C658" s="47">
        <v>223354.0</v>
      </c>
      <c r="D658" s="47" t="str">
        <f>VLOOKUP(C658,'Equalização'!E:J,6,0)</f>
        <v>#N/A</v>
      </c>
    </row>
    <row r="659" ht="15.75" customHeight="1">
      <c r="C659" s="47">
        <v>226245.0</v>
      </c>
      <c r="D659" s="47" t="str">
        <f>VLOOKUP(C659,'Equalização'!E:J,6,0)</f>
        <v>#N/A</v>
      </c>
    </row>
    <row r="660" ht="15.75" customHeight="1">
      <c r="C660" s="47">
        <v>211573.0</v>
      </c>
      <c r="D660" s="47" t="str">
        <f>VLOOKUP(C660,'Equalização'!E:J,6,0)</f>
        <v>#N/A</v>
      </c>
    </row>
    <row r="661" ht="15.75" customHeight="1">
      <c r="C661" s="47">
        <v>211687.0</v>
      </c>
      <c r="D661" s="47" t="str">
        <f>VLOOKUP(C661,'Equalização'!E:J,6,0)</f>
        <v>#N/A</v>
      </c>
    </row>
    <row r="662" ht="15.75" customHeight="1">
      <c r="C662" s="47">
        <v>134764.0</v>
      </c>
      <c r="D662" s="47" t="str">
        <f>VLOOKUP(C662,'Equalização'!E:J,6,0)</f>
        <v>#N/A</v>
      </c>
    </row>
    <row r="663" ht="15.75" customHeight="1">
      <c r="C663" s="47">
        <v>237566.0</v>
      </c>
      <c r="D663" s="47" t="str">
        <f>VLOOKUP(C663,'Equalização'!E:J,6,0)</f>
        <v>#N/A</v>
      </c>
    </row>
    <row r="664" ht="15.75" customHeight="1">
      <c r="C664" s="47">
        <v>225596.0</v>
      </c>
      <c r="D664" s="47" t="str">
        <f>VLOOKUP(C664,'Equalização'!E:J,6,0)</f>
        <v>#N/A</v>
      </c>
    </row>
    <row r="665" ht="15.75" customHeight="1">
      <c r="C665" s="47">
        <v>226205.0</v>
      </c>
      <c r="D665" s="47" t="str">
        <f>VLOOKUP(C665,'Equalização'!E:J,6,0)</f>
        <v>#N/A</v>
      </c>
    </row>
    <row r="666" ht="15.75" customHeight="1">
      <c r="C666" s="47">
        <v>75450.0</v>
      </c>
      <c r="D666" s="47" t="str">
        <f>VLOOKUP(C666,'Equalização'!E:J,6,0)</f>
        <v>#N/A</v>
      </c>
    </row>
    <row r="667" ht="15.75" customHeight="1">
      <c r="C667" s="47">
        <v>183203.0</v>
      </c>
      <c r="D667" s="47" t="str">
        <f>VLOOKUP(C667,'Equalização'!E:J,6,0)</f>
        <v>#N/A</v>
      </c>
    </row>
    <row r="668" ht="15.75" customHeight="1">
      <c r="C668" s="47">
        <v>171432.0</v>
      </c>
      <c r="D668" s="47" t="str">
        <f>VLOOKUP(C668,'Equalização'!E:J,6,0)</f>
        <v>#N/A</v>
      </c>
    </row>
    <row r="669" ht="15.75" customHeight="1">
      <c r="C669" s="47">
        <v>118237.0</v>
      </c>
      <c r="D669" s="47" t="str">
        <f>VLOOKUP(C669,'Equalização'!E:J,6,0)</f>
        <v>#N/A</v>
      </c>
    </row>
    <row r="670" ht="15.75" customHeight="1">
      <c r="C670" s="47">
        <v>214041.0</v>
      </c>
      <c r="D670" s="47" t="str">
        <f>VLOOKUP(C670,'Equalização'!E:J,6,0)</f>
        <v>#N/A</v>
      </c>
    </row>
    <row r="671" ht="15.75" customHeight="1">
      <c r="C671" s="47">
        <v>214038.0</v>
      </c>
      <c r="D671" s="47" t="str">
        <f>VLOOKUP(C671,'Equalização'!E:J,6,0)</f>
        <v>#N/A</v>
      </c>
    </row>
    <row r="672" ht="15.75" customHeight="1">
      <c r="C672" s="47">
        <v>217929.0</v>
      </c>
      <c r="D672" s="47" t="str">
        <f>VLOOKUP(C672,'Equalização'!E:J,6,0)</f>
        <v>#N/A</v>
      </c>
    </row>
    <row r="673" ht="15.75" customHeight="1">
      <c r="C673" s="47">
        <v>207152.0</v>
      </c>
      <c r="D673" s="47" t="str">
        <f>VLOOKUP(C673,'Equalização'!E:J,6,0)</f>
        <v>#N/A</v>
      </c>
    </row>
    <row r="674" ht="15.75" customHeight="1">
      <c r="C674" s="47">
        <v>198755.0</v>
      </c>
      <c r="D674" s="47" t="str">
        <f>VLOOKUP(C674,'Equalização'!E:J,6,0)</f>
        <v>#N/A</v>
      </c>
    </row>
    <row r="675" ht="15.75" customHeight="1">
      <c r="C675" s="47">
        <v>225885.0</v>
      </c>
      <c r="D675" s="47" t="str">
        <f>VLOOKUP(C675,'Equalização'!E:J,6,0)</f>
        <v>#N/A</v>
      </c>
    </row>
    <row r="676" ht="15.75" customHeight="1">
      <c r="C676" s="47">
        <v>225910.0</v>
      </c>
      <c r="D676" s="47" t="str">
        <f>VLOOKUP(C676,'Equalização'!E:J,6,0)</f>
        <v>#N/A</v>
      </c>
    </row>
    <row r="677" ht="15.75" customHeight="1">
      <c r="C677" s="47">
        <v>204769.0</v>
      </c>
      <c r="D677" s="47" t="str">
        <f>VLOOKUP(C677,'Equalização'!E:J,6,0)</f>
        <v>#N/A</v>
      </c>
    </row>
    <row r="678" ht="15.75" customHeight="1">
      <c r="C678" s="47">
        <v>223345.0</v>
      </c>
      <c r="D678" s="47" t="str">
        <f>VLOOKUP(C678,'Equalização'!E:J,6,0)</f>
        <v>#N/A</v>
      </c>
    </row>
    <row r="679" ht="15.75" customHeight="1">
      <c r="C679" s="47">
        <v>217144.0</v>
      </c>
      <c r="D679" s="47" t="str">
        <f>VLOOKUP(C679,'Equalização'!E:J,6,0)</f>
        <v>#N/A</v>
      </c>
    </row>
    <row r="680" ht="15.75" customHeight="1">
      <c r="C680" s="47">
        <v>204753.0</v>
      </c>
      <c r="D680" s="47" t="str">
        <f>VLOOKUP(C680,'Equalização'!E:J,6,0)</f>
        <v>#N/A</v>
      </c>
    </row>
    <row r="681" ht="15.75" customHeight="1">
      <c r="C681" s="47">
        <v>205829.0</v>
      </c>
      <c r="D681" s="47" t="str">
        <f>VLOOKUP(C681,'Equalização'!E:J,6,0)</f>
        <v>#N/A</v>
      </c>
    </row>
    <row r="682" ht="15.75" customHeight="1">
      <c r="C682" s="47">
        <v>97357.0</v>
      </c>
      <c r="D682" s="47" t="str">
        <f>VLOOKUP(C682,'Equalização'!E:J,6,0)</f>
        <v>#N/A</v>
      </c>
    </row>
    <row r="683" ht="15.75" customHeight="1">
      <c r="C683" s="47">
        <v>205825.0</v>
      </c>
      <c r="D683" s="47" t="str">
        <f>VLOOKUP(C683,'Equalização'!E:J,6,0)</f>
        <v>#N/A</v>
      </c>
    </row>
    <row r="684" ht="15.75" customHeight="1">
      <c r="C684" s="47">
        <v>226304.0</v>
      </c>
      <c r="D684" s="47" t="str">
        <f>VLOOKUP(C684,'Equalização'!E:J,6,0)</f>
        <v>#N/A</v>
      </c>
    </row>
    <row r="685" ht="15.75" customHeight="1">
      <c r="C685" s="47">
        <v>213172.0</v>
      </c>
      <c r="D685" s="47" t="str">
        <f>VLOOKUP(C685,'Equalização'!E:J,6,0)</f>
        <v>#N/A</v>
      </c>
    </row>
    <row r="686" ht="15.75" customHeight="1">
      <c r="C686" s="47">
        <v>213246.0</v>
      </c>
      <c r="D686" s="47" t="str">
        <f>VLOOKUP(C686,'Equalização'!E:J,6,0)</f>
        <v>#N/A</v>
      </c>
    </row>
    <row r="687" ht="15.75" customHeight="1">
      <c r="C687" s="47">
        <v>220712.0</v>
      </c>
      <c r="D687" s="47" t="str">
        <f>VLOOKUP(C687,'Equalização'!E:J,6,0)</f>
        <v>#N/A</v>
      </c>
    </row>
    <row r="688" ht="15.75" customHeight="1">
      <c r="C688" s="47">
        <v>227753.0</v>
      </c>
      <c r="D688" s="47" t="str">
        <f>VLOOKUP(C688,'Equalização'!E:J,6,0)</f>
        <v>#N/A</v>
      </c>
    </row>
    <row r="689" ht="15.75" customHeight="1">
      <c r="C689" s="47">
        <v>193561.0</v>
      </c>
      <c r="D689" s="47" t="str">
        <f>VLOOKUP(C689,'Equalização'!E:J,6,0)</f>
        <v>#N/A</v>
      </c>
    </row>
    <row r="690" ht="15.75" customHeight="1">
      <c r="C690" s="47">
        <v>152954.0</v>
      </c>
      <c r="D690" s="47" t="str">
        <f>VLOOKUP(C690,'Equalização'!E:J,6,0)</f>
        <v>#N/A</v>
      </c>
    </row>
    <row r="691" ht="15.75" customHeight="1">
      <c r="C691" s="47">
        <v>210844.0</v>
      </c>
      <c r="D691" s="47" t="str">
        <f>VLOOKUP(C691,'Equalização'!E:J,6,0)</f>
        <v>#N/A</v>
      </c>
    </row>
    <row r="692" ht="15.75" customHeight="1">
      <c r="C692" s="47">
        <v>134364.0</v>
      </c>
      <c r="D692" s="47" t="str">
        <f>VLOOKUP(C692,'Equalização'!E:J,6,0)</f>
        <v>#N/A</v>
      </c>
    </row>
    <row r="693" ht="15.75" customHeight="1">
      <c r="C693" s="47">
        <v>56529.0</v>
      </c>
      <c r="D693" s="47" t="str">
        <f>VLOOKUP(C693,'Equalização'!E:J,6,0)</f>
        <v>#N/A</v>
      </c>
    </row>
    <row r="694" ht="15.75" customHeight="1">
      <c r="C694" s="47">
        <v>207176.0</v>
      </c>
      <c r="D694" s="47" t="str">
        <f>VLOOKUP(C694,'Equalização'!E:J,6,0)</f>
        <v>#N/A</v>
      </c>
    </row>
    <row r="695" ht="15.75" customHeight="1">
      <c r="C695" s="47">
        <v>206381.0</v>
      </c>
      <c r="D695" s="47" t="str">
        <f>VLOOKUP(C695,'Equalização'!E:J,6,0)</f>
        <v>#N/A</v>
      </c>
    </row>
    <row r="696" ht="15.75" customHeight="1">
      <c r="C696" s="47">
        <v>226290.0</v>
      </c>
      <c r="D696" s="47" t="str">
        <f>VLOOKUP(C696,'Equalização'!E:J,6,0)</f>
        <v>#N/A</v>
      </c>
    </row>
    <row r="697" ht="15.75" customHeight="1">
      <c r="C697" s="47">
        <v>225727.0</v>
      </c>
      <c r="D697" s="47" t="str">
        <f>VLOOKUP(C697,'Equalização'!E:J,6,0)</f>
        <v>#N/A</v>
      </c>
    </row>
    <row r="698" ht="15.75" customHeight="1">
      <c r="C698" s="47">
        <v>213508.0</v>
      </c>
      <c r="D698" s="47" t="str">
        <f>VLOOKUP(C698,'Equalização'!E:J,6,0)</f>
        <v>#N/A</v>
      </c>
    </row>
    <row r="699" ht="15.75" customHeight="1">
      <c r="C699" s="47">
        <v>179710.0</v>
      </c>
      <c r="D699" s="47" t="str">
        <f>VLOOKUP(C699,'Equalização'!E:J,6,0)</f>
        <v>#N/A</v>
      </c>
    </row>
    <row r="700" ht="15.75" customHeight="1">
      <c r="C700" s="47">
        <v>226227.0</v>
      </c>
      <c r="D700" s="47" t="str">
        <f>VLOOKUP(C700,'Equalização'!E:J,6,0)</f>
        <v>#N/A</v>
      </c>
    </row>
    <row r="701" ht="15.75" customHeight="1">
      <c r="C701" s="47">
        <v>205897.0</v>
      </c>
      <c r="D701" s="47" t="str">
        <f>VLOOKUP(C701,'Equalização'!E:J,6,0)</f>
        <v>#N/A</v>
      </c>
    </row>
    <row r="702" ht="15.75" customHeight="1">
      <c r="C702" s="47">
        <v>225581.0</v>
      </c>
      <c r="D702" s="47" t="str">
        <f>VLOOKUP(C702,'Equalização'!E:J,6,0)</f>
        <v>#N/A</v>
      </c>
    </row>
    <row r="703" ht="15.75" customHeight="1">
      <c r="C703" s="47">
        <v>140953.0</v>
      </c>
      <c r="D703" s="47" t="str">
        <f>VLOOKUP(C703,'Equalização'!E:J,6,0)</f>
        <v>#N/A</v>
      </c>
    </row>
    <row r="704" ht="15.75" customHeight="1">
      <c r="C704" s="47">
        <v>213551.0</v>
      </c>
      <c r="D704" s="47" t="str">
        <f>VLOOKUP(C704,'Equalização'!E:J,6,0)</f>
        <v>#N/A</v>
      </c>
    </row>
    <row r="705" ht="15.75" customHeight="1">
      <c r="C705" s="47">
        <v>211591.0</v>
      </c>
      <c r="D705" s="47" t="str">
        <f>VLOOKUP(C705,'Equalização'!E:J,6,0)</f>
        <v>#N/A</v>
      </c>
    </row>
    <row r="706" ht="15.75" customHeight="1">
      <c r="C706" s="47">
        <v>239375.0</v>
      </c>
      <c r="D706" s="47" t="str">
        <f>VLOOKUP(C706,'Equalização'!E:J,6,0)</f>
        <v>#N/A</v>
      </c>
    </row>
    <row r="707" ht="15.75" customHeight="1">
      <c r="C707" s="47">
        <v>213888.0</v>
      </c>
      <c r="D707" s="47" t="str">
        <f>VLOOKUP(C707,'Equalização'!E:J,6,0)</f>
        <v>#N/A</v>
      </c>
    </row>
    <row r="708" ht="15.75" customHeight="1">
      <c r="C708" s="47">
        <v>222213.0</v>
      </c>
      <c r="D708" s="47" t="str">
        <f>VLOOKUP(C708,'Equalização'!E:J,6,0)</f>
        <v>#N/A</v>
      </c>
    </row>
    <row r="709" ht="15.75" customHeight="1">
      <c r="C709" s="47">
        <v>213521.0</v>
      </c>
      <c r="D709" s="47" t="str">
        <f>VLOOKUP(C709,'Equalização'!E:J,6,0)</f>
        <v>#N/A</v>
      </c>
    </row>
    <row r="710" ht="15.75" customHeight="1">
      <c r="C710" s="47">
        <v>212995.0</v>
      </c>
      <c r="D710" s="47" t="str">
        <f>VLOOKUP(C710,'Equalização'!E:J,6,0)</f>
        <v>#N/A</v>
      </c>
    </row>
    <row r="711" ht="15.75" customHeight="1">
      <c r="C711" s="47">
        <v>193562.0</v>
      </c>
      <c r="D711" s="47" t="str">
        <f>VLOOKUP(C711,'Equalização'!E:J,6,0)</f>
        <v>#N/A</v>
      </c>
    </row>
    <row r="712" ht="15.75" customHeight="1">
      <c r="C712" s="47">
        <v>207164.0</v>
      </c>
      <c r="D712" s="47" t="str">
        <f>VLOOKUP(C712,'Equalização'!E:J,6,0)</f>
        <v>#N/A</v>
      </c>
    </row>
    <row r="713" ht="15.75" customHeight="1">
      <c r="C713" s="47">
        <v>223635.0</v>
      </c>
      <c r="D713" s="47" t="str">
        <f>VLOOKUP(C713,'Equalização'!E:J,6,0)</f>
        <v>#N/A</v>
      </c>
    </row>
    <row r="714" ht="15.75" customHeight="1">
      <c r="C714" s="47">
        <v>207935.0</v>
      </c>
      <c r="D714" s="47" t="str">
        <f>VLOOKUP(C714,'Equalização'!E:J,6,0)</f>
        <v>#N/A</v>
      </c>
    </row>
    <row r="715" ht="15.75" customHeight="1">
      <c r="C715" s="47">
        <v>207132.0</v>
      </c>
      <c r="D715" s="47" t="str">
        <f>VLOOKUP(C715,'Equalização'!E:J,6,0)</f>
        <v>#N/A</v>
      </c>
    </row>
    <row r="716" ht="15.75" customHeight="1">
      <c r="C716" s="47">
        <v>225773.0</v>
      </c>
      <c r="D716" s="47" t="str">
        <f>VLOOKUP(C716,'Equalização'!E:J,6,0)</f>
        <v>#N/A</v>
      </c>
    </row>
    <row r="717" ht="15.75" customHeight="1">
      <c r="C717" s="47">
        <v>207917.0</v>
      </c>
      <c r="D717" s="47" t="str">
        <f>VLOOKUP(C717,'Equalização'!E:J,6,0)</f>
        <v>#N/A</v>
      </c>
    </row>
    <row r="718" ht="15.75" customHeight="1">
      <c r="C718" s="47">
        <v>225658.0</v>
      </c>
      <c r="D718" s="47" t="str">
        <f>VLOOKUP(C718,'Equalização'!E:J,6,0)</f>
        <v>#N/A</v>
      </c>
    </row>
    <row r="719" ht="15.75" customHeight="1">
      <c r="C719" s="47">
        <v>238438.0</v>
      </c>
      <c r="D719" s="47" t="str">
        <f>VLOOKUP(C719,'Equalização'!E:J,6,0)</f>
        <v>#N/A</v>
      </c>
    </row>
    <row r="720" ht="15.75" customHeight="1">
      <c r="C720" s="47">
        <v>211096.0</v>
      </c>
      <c r="D720" s="47" t="str">
        <f>VLOOKUP(C720,'Equalização'!E:J,6,0)</f>
        <v>#N/A</v>
      </c>
    </row>
    <row r="721" ht="15.75" customHeight="1">
      <c r="C721" s="47">
        <v>230111.0</v>
      </c>
      <c r="D721" s="47" t="str">
        <f>VLOOKUP(C721,'Equalização'!E:J,6,0)</f>
        <v>#N/A</v>
      </c>
    </row>
    <row r="722" ht="15.75" customHeight="1">
      <c r="C722" s="47">
        <v>227536.0</v>
      </c>
      <c r="D722" s="47" t="str">
        <f>VLOOKUP(C722,'Equalização'!E:J,6,0)</f>
        <v>#N/A</v>
      </c>
    </row>
    <row r="723" ht="15.75" customHeight="1">
      <c r="C723" s="47">
        <v>211728.0</v>
      </c>
      <c r="D723" s="47" t="str">
        <f>VLOOKUP(C723,'Equalização'!E:J,6,0)</f>
        <v>#N/A</v>
      </c>
    </row>
    <row r="724" ht="15.75" customHeight="1">
      <c r="C724" s="47">
        <v>207143.0</v>
      </c>
      <c r="D724" s="47" t="str">
        <f>VLOOKUP(C724,'Equalização'!E:J,6,0)</f>
        <v>#N/A</v>
      </c>
    </row>
    <row r="725" ht="15.75" customHeight="1">
      <c r="C725" s="47">
        <v>226294.0</v>
      </c>
      <c r="D725" s="47" t="str">
        <f>VLOOKUP(C725,'Equalização'!E:J,6,0)</f>
        <v>#N/A</v>
      </c>
    </row>
    <row r="726" ht="15.75" customHeight="1">
      <c r="C726" s="47">
        <v>214060.0</v>
      </c>
      <c r="D726" s="47" t="str">
        <f>VLOOKUP(C726,'Equalização'!E:J,6,0)</f>
        <v>#N/A</v>
      </c>
    </row>
    <row r="727" ht="15.75" customHeight="1">
      <c r="C727" s="47">
        <v>227541.0</v>
      </c>
      <c r="D727" s="47" t="str">
        <f>VLOOKUP(C727,'Equalização'!E:J,6,0)</f>
        <v>#N/A</v>
      </c>
    </row>
    <row r="728" ht="15.75" customHeight="1">
      <c r="C728" s="47">
        <v>225246.0</v>
      </c>
      <c r="D728" s="47" t="str">
        <f>VLOOKUP(C728,'Equalização'!E:J,6,0)</f>
        <v>#N/A</v>
      </c>
    </row>
    <row r="729" ht="15.75" customHeight="1">
      <c r="C729" s="47">
        <v>153155.0</v>
      </c>
      <c r="D729" s="47" t="str">
        <f>VLOOKUP(C729,'Equalização'!E:J,6,0)</f>
        <v>#N/A</v>
      </c>
    </row>
    <row r="730" ht="15.75" customHeight="1">
      <c r="C730" s="47">
        <v>153156.0</v>
      </c>
      <c r="D730" s="47" t="str">
        <f>VLOOKUP(C730,'Equalização'!E:J,6,0)</f>
        <v>#N/A</v>
      </c>
    </row>
    <row r="731" ht="15.75" customHeight="1">
      <c r="C731" s="47">
        <v>206380.0</v>
      </c>
      <c r="D731" s="47" t="str">
        <f>VLOOKUP(C731,'Equalização'!E:J,6,0)</f>
        <v>#N/A</v>
      </c>
    </row>
    <row r="732" ht="15.75" customHeight="1">
      <c r="C732" s="47">
        <v>146167.0</v>
      </c>
      <c r="D732" s="47" t="str">
        <f>VLOOKUP(C732,'Equalização'!E:J,6,0)</f>
        <v>#N/A</v>
      </c>
    </row>
    <row r="733" ht="15.75" customHeight="1">
      <c r="C733" s="47">
        <v>204743.0</v>
      </c>
      <c r="D733" s="47" t="str">
        <f>VLOOKUP(C733,'Equalização'!E:J,6,0)</f>
        <v>#N/A</v>
      </c>
    </row>
    <row r="734" ht="15.75" customHeight="1">
      <c r="C734" s="47">
        <v>211472.0</v>
      </c>
      <c r="D734" s="47" t="str">
        <f>VLOOKUP(C734,'Equalização'!E:J,6,0)</f>
        <v>#N/A</v>
      </c>
    </row>
    <row r="735" ht="15.75" customHeight="1">
      <c r="C735" s="47">
        <v>154217.0</v>
      </c>
      <c r="D735" s="47" t="str">
        <f>VLOOKUP(C735,'Equalização'!E:J,6,0)</f>
        <v>#N/A</v>
      </c>
    </row>
    <row r="736" ht="15.75" customHeight="1">
      <c r="C736" s="47">
        <v>220170.0</v>
      </c>
      <c r="D736" s="47" t="str">
        <f>VLOOKUP(C736,'Equalização'!E:J,6,0)</f>
        <v>#N/A</v>
      </c>
    </row>
    <row r="737" ht="15.75" customHeight="1">
      <c r="C737" s="47">
        <v>207810.0</v>
      </c>
      <c r="D737" s="47" t="str">
        <f>VLOOKUP(C737,'Equalização'!E:J,6,0)</f>
        <v>#N/A</v>
      </c>
    </row>
    <row r="738" ht="15.75" customHeight="1">
      <c r="C738" s="47">
        <v>240234.0</v>
      </c>
      <c r="D738" s="47" t="str">
        <f>VLOOKUP(C738,'Equalização'!E:J,6,0)</f>
        <v>#N/A</v>
      </c>
    </row>
    <row r="739" ht="15.75" customHeight="1">
      <c r="C739" s="47">
        <v>210284.0</v>
      </c>
      <c r="D739" s="47" t="str">
        <f>VLOOKUP(C739,'Equalização'!E:J,6,0)</f>
        <v>#N/A</v>
      </c>
    </row>
    <row r="740" ht="15.75" customHeight="1">
      <c r="C740" s="47">
        <v>204799.0</v>
      </c>
      <c r="D740" s="47" t="str">
        <f>VLOOKUP(C740,'Equalização'!E:J,6,0)</f>
        <v>#N/A</v>
      </c>
    </row>
    <row r="741" ht="15.75" customHeight="1">
      <c r="C741" s="47">
        <v>212191.0</v>
      </c>
      <c r="D741" s="47" t="str">
        <f>VLOOKUP(C741,'Equalização'!E:J,6,0)</f>
        <v>#N/A</v>
      </c>
    </row>
    <row r="742" ht="15.75" customHeight="1">
      <c r="C742" s="47">
        <v>230742.0</v>
      </c>
      <c r="D742" s="47" t="str">
        <f>VLOOKUP(C742,'Equalização'!E:J,6,0)</f>
        <v>#N/A</v>
      </c>
    </row>
    <row r="743" ht="15.75" customHeight="1">
      <c r="C743" s="47">
        <v>146678.0</v>
      </c>
      <c r="D743" s="47" t="str">
        <f>VLOOKUP(C743,'Equalização'!E:J,6,0)</f>
        <v>#N/A</v>
      </c>
    </row>
    <row r="744" ht="15.75" customHeight="1">
      <c r="C744" s="47">
        <v>227919.0</v>
      </c>
      <c r="D744" s="47" t="str">
        <f>VLOOKUP(C744,'Equalização'!E:J,6,0)</f>
        <v>#N/A</v>
      </c>
    </row>
    <row r="745" ht="15.75" customHeight="1">
      <c r="C745" s="47">
        <v>227752.0</v>
      </c>
      <c r="D745" s="47" t="str">
        <f>VLOOKUP(C745,'Equalização'!E:J,6,0)</f>
        <v>#N/A</v>
      </c>
    </row>
    <row r="746" ht="15.75" customHeight="1">
      <c r="C746" s="47">
        <v>229580.0</v>
      </c>
      <c r="D746" s="47" t="str">
        <f>VLOOKUP(C746,'Equalização'!E:J,6,0)</f>
        <v>#N/A</v>
      </c>
    </row>
    <row r="747" ht="15.75" customHeight="1">
      <c r="C747" s="47">
        <v>208035.0</v>
      </c>
      <c r="D747" s="47" t="str">
        <f>VLOOKUP(C747,'Equalização'!E:J,6,0)</f>
        <v>#N/A</v>
      </c>
    </row>
    <row r="748" ht="15.75" customHeight="1">
      <c r="C748" s="47">
        <v>204766.0</v>
      </c>
      <c r="D748" s="47" t="str">
        <f>VLOOKUP(C748,'Equalização'!E:J,6,0)</f>
        <v>#N/A</v>
      </c>
    </row>
    <row r="749" ht="15.75" customHeight="1">
      <c r="C749" s="47">
        <v>210602.0</v>
      </c>
      <c r="D749" s="47" t="str">
        <f>VLOOKUP(C749,'Equalização'!E:J,6,0)</f>
        <v>#N/A</v>
      </c>
    </row>
    <row r="750" ht="15.75" customHeight="1">
      <c r="C750" s="47">
        <v>135947.0</v>
      </c>
      <c r="D750" s="47" t="str">
        <f>VLOOKUP(C750,'Equalização'!E:J,6,0)</f>
        <v>#N/A</v>
      </c>
    </row>
    <row r="751" ht="15.75" customHeight="1">
      <c r="C751" s="47">
        <v>225695.0</v>
      </c>
      <c r="D751" s="47" t="str">
        <f>VLOOKUP(C751,'Equalização'!E:J,6,0)</f>
        <v>#N/A</v>
      </c>
    </row>
    <row r="752" ht="15.75" customHeight="1">
      <c r="C752" s="47">
        <v>226309.0</v>
      </c>
      <c r="D752" s="47" t="str">
        <f>VLOOKUP(C752,'Equalização'!E:J,6,0)</f>
        <v>#N/A</v>
      </c>
    </row>
    <row r="753" ht="15.75" customHeight="1">
      <c r="C753" s="47">
        <v>56596.0</v>
      </c>
      <c r="D753" s="47" t="str">
        <f>VLOOKUP(C753,'Equalização'!E:J,6,0)</f>
        <v>#N/A</v>
      </c>
    </row>
    <row r="754" ht="15.75" customHeight="1">
      <c r="C754" s="47">
        <v>240199.0</v>
      </c>
      <c r="D754" s="47" t="str">
        <f>VLOOKUP(C754,'Equalização'!E:J,6,0)</f>
        <v>#N/A</v>
      </c>
    </row>
    <row r="755" ht="15.75" customHeight="1">
      <c r="C755" s="47">
        <v>225567.0</v>
      </c>
      <c r="D755" s="47" t="str">
        <f>VLOOKUP(C755,'Equalização'!E:J,6,0)</f>
        <v>#N/A</v>
      </c>
    </row>
    <row r="756" ht="15.75" customHeight="1">
      <c r="C756" s="47">
        <v>207151.0</v>
      </c>
      <c r="D756" s="47" t="str">
        <f>VLOOKUP(C756,'Equalização'!E:J,6,0)</f>
        <v>#N/A</v>
      </c>
    </row>
    <row r="757" ht="15.75" customHeight="1">
      <c r="C757" s="47">
        <v>211595.0</v>
      </c>
      <c r="D757" s="47" t="str">
        <f>VLOOKUP(C757,'Equalização'!E:J,6,0)</f>
        <v>#N/A</v>
      </c>
    </row>
    <row r="758" ht="15.75" customHeight="1">
      <c r="C758" s="47">
        <v>225722.0</v>
      </c>
      <c r="D758" s="47" t="str">
        <f>VLOOKUP(C758,'Equalização'!E:J,6,0)</f>
        <v>#N/A</v>
      </c>
    </row>
    <row r="759" ht="15.75" customHeight="1">
      <c r="C759" s="47">
        <v>153199.0</v>
      </c>
      <c r="D759" s="47" t="str">
        <f>VLOOKUP(C759,'Equalização'!E:J,6,0)</f>
        <v>#N/A</v>
      </c>
    </row>
    <row r="760" ht="15.75" customHeight="1">
      <c r="C760" s="47">
        <v>218505.0</v>
      </c>
      <c r="D760" s="47" t="str">
        <f>VLOOKUP(C760,'Equalização'!E:J,6,0)</f>
        <v>#N/A</v>
      </c>
    </row>
    <row r="761" ht="15.75" customHeight="1">
      <c r="C761" s="47">
        <v>161059.0</v>
      </c>
      <c r="D761" s="47" t="str">
        <f>VLOOKUP(C761,'Equalização'!E:J,6,0)</f>
        <v>#N/A</v>
      </c>
    </row>
    <row r="762" ht="15.75" customHeight="1">
      <c r="C762" s="47">
        <v>213077.0</v>
      </c>
      <c r="D762" s="47" t="str">
        <f>VLOOKUP(C762,'Equalização'!E:J,6,0)</f>
        <v>#N/A</v>
      </c>
    </row>
    <row r="763" ht="15.75" customHeight="1">
      <c r="C763" s="47">
        <v>225660.0</v>
      </c>
      <c r="D763" s="47" t="str">
        <f>VLOOKUP(C763,'Equalização'!E:J,6,0)</f>
        <v>#N/A</v>
      </c>
    </row>
    <row r="764" ht="15.75" customHeight="1">
      <c r="C764" s="47">
        <v>118920.0</v>
      </c>
      <c r="D764" s="47" t="str">
        <f>VLOOKUP(C764,'Equalização'!E:J,6,0)</f>
        <v>#N/A</v>
      </c>
    </row>
    <row r="765" ht="15.75" customHeight="1">
      <c r="C765" s="47">
        <v>206082.0</v>
      </c>
      <c r="D765" s="47" t="str">
        <f>VLOOKUP(C765,'Equalização'!E:J,6,0)</f>
        <v>#N/A</v>
      </c>
    </row>
    <row r="766" ht="15.75" customHeight="1">
      <c r="C766" s="47">
        <v>226282.0</v>
      </c>
      <c r="D766" s="47" t="str">
        <f>VLOOKUP(C766,'Equalização'!E:J,6,0)</f>
        <v>#N/A</v>
      </c>
    </row>
    <row r="767" ht="15.75" customHeight="1">
      <c r="C767" s="47">
        <v>118239.0</v>
      </c>
      <c r="D767" s="47" t="str">
        <f>VLOOKUP(C767,'Equalização'!E:J,6,0)</f>
        <v>#N/A</v>
      </c>
    </row>
    <row r="768" ht="15.75" customHeight="1">
      <c r="C768" s="47">
        <v>207796.0</v>
      </c>
      <c r="D768" s="47" t="str">
        <f>VLOOKUP(C768,'Equalização'!E:J,6,0)</f>
        <v>#N/A</v>
      </c>
    </row>
    <row r="769" ht="15.75" customHeight="1">
      <c r="C769" s="47">
        <v>50768.0</v>
      </c>
      <c r="D769" s="47" t="str">
        <f>VLOOKUP(C769,'Equalização'!E:J,6,0)</f>
        <v>#N/A</v>
      </c>
    </row>
    <row r="770" ht="15.75" customHeight="1">
      <c r="C770" s="47">
        <v>225725.0</v>
      </c>
      <c r="D770" s="47" t="str">
        <f>VLOOKUP(C770,'Equalização'!E:J,6,0)</f>
        <v>#N/A</v>
      </c>
    </row>
    <row r="771" ht="15.75" customHeight="1">
      <c r="C771" s="47">
        <v>207153.0</v>
      </c>
      <c r="D771" s="47" t="str">
        <f>VLOOKUP(C771,'Equalização'!E:J,6,0)</f>
        <v>#N/A</v>
      </c>
    </row>
    <row r="772" ht="15.75" customHeight="1">
      <c r="C772" s="47">
        <v>168948.0</v>
      </c>
      <c r="D772" s="47" t="str">
        <f>VLOOKUP(C772,'Equalização'!E:J,6,0)</f>
        <v>#N/A</v>
      </c>
    </row>
    <row r="773" ht="15.75" customHeight="1">
      <c r="C773" s="47">
        <v>201076.0</v>
      </c>
      <c r="D773" s="47" t="str">
        <f>VLOOKUP(C773,'Equalização'!E:J,6,0)</f>
        <v>#N/A</v>
      </c>
    </row>
    <row r="774" ht="15.75" customHeight="1">
      <c r="C774" s="47">
        <v>154212.0</v>
      </c>
      <c r="D774" s="47" t="str">
        <f>VLOOKUP(C774,'Equalização'!E:J,6,0)</f>
        <v>#N/A</v>
      </c>
    </row>
    <row r="775" ht="15.75" customHeight="1">
      <c r="C775" s="47">
        <v>152912.0</v>
      </c>
      <c r="D775" s="47" t="str">
        <f>VLOOKUP(C775,'Equalização'!E:J,6,0)</f>
        <v>#N/A</v>
      </c>
    </row>
    <row r="776" ht="15.75" customHeight="1">
      <c r="C776" s="47">
        <v>118871.0</v>
      </c>
      <c r="D776" s="47" t="str">
        <f>VLOOKUP(C776,'Equalização'!E:J,6,0)</f>
        <v>#N/A</v>
      </c>
    </row>
    <row r="777" ht="15.75" customHeight="1">
      <c r="C777" s="47">
        <v>186801.0</v>
      </c>
      <c r="D777" s="47" t="str">
        <f>VLOOKUP(C777,'Equalização'!E:J,6,0)</f>
        <v>#N/A</v>
      </c>
    </row>
    <row r="778" ht="15.75" customHeight="1">
      <c r="C778" s="47">
        <v>219514.0</v>
      </c>
      <c r="D778" s="47" t="str">
        <f>VLOOKUP(C778,'Equalização'!E:J,6,0)</f>
        <v>#N/A</v>
      </c>
    </row>
    <row r="779" ht="15.75" customHeight="1">
      <c r="C779" s="47">
        <v>147140.0</v>
      </c>
      <c r="D779" s="47" t="str">
        <f>VLOOKUP(C779,'Equalização'!E:J,6,0)</f>
        <v>#N/A</v>
      </c>
    </row>
    <row r="780" ht="15.75" customHeight="1">
      <c r="C780" s="47">
        <v>205914.0</v>
      </c>
      <c r="D780" s="47" t="str">
        <f>VLOOKUP(C780,'Equalização'!E:J,6,0)</f>
        <v>#N/A</v>
      </c>
    </row>
    <row r="781" ht="15.75" customHeight="1">
      <c r="C781" s="47">
        <v>225655.0</v>
      </c>
      <c r="D781" s="47" t="str">
        <f>VLOOKUP(C781,'Equalização'!E:J,6,0)</f>
        <v>#N/A</v>
      </c>
    </row>
    <row r="782" ht="15.75" customHeight="1">
      <c r="C782" s="47">
        <v>225657.0</v>
      </c>
      <c r="D782" s="47" t="str">
        <f>VLOOKUP(C782,'Equalização'!E:J,6,0)</f>
        <v>#N/A</v>
      </c>
    </row>
    <row r="783" ht="15.75" customHeight="1">
      <c r="C783" s="47">
        <v>184088.0</v>
      </c>
      <c r="D783" s="47" t="str">
        <f>VLOOKUP(C783,'Equalização'!E:J,6,0)</f>
        <v>#N/A</v>
      </c>
    </row>
    <row r="784" ht="15.75" customHeight="1">
      <c r="C784" s="47">
        <v>151278.0</v>
      </c>
      <c r="D784" s="47" t="str">
        <f>VLOOKUP(C784,'Equalização'!E:J,6,0)</f>
        <v>#N/A</v>
      </c>
    </row>
    <row r="785" ht="15.75" customHeight="1">
      <c r="C785" s="47">
        <v>225528.0</v>
      </c>
      <c r="D785" s="47" t="str">
        <f>VLOOKUP(C785,'Equalização'!E:J,6,0)</f>
        <v>#N/A</v>
      </c>
    </row>
    <row r="786" ht="15.75" customHeight="1">
      <c r="C786" s="47">
        <v>215783.0</v>
      </c>
      <c r="D786" s="47" t="str">
        <f>VLOOKUP(C786,'Equalização'!E:J,6,0)</f>
        <v>#N/A</v>
      </c>
    </row>
    <row r="787" ht="15.75" customHeight="1">
      <c r="C787" s="47">
        <v>146551.0</v>
      </c>
      <c r="D787" s="47" t="str">
        <f>VLOOKUP(C787,'Equalização'!E:J,6,0)</f>
        <v>#N/A</v>
      </c>
    </row>
    <row r="788" ht="15.75" customHeight="1">
      <c r="C788" s="47">
        <v>227534.0</v>
      </c>
      <c r="D788" s="47" t="str">
        <f>VLOOKUP(C788,'Equalização'!E:J,6,0)</f>
        <v>#N/A</v>
      </c>
    </row>
    <row r="789" ht="15.75" customHeight="1">
      <c r="C789" s="47">
        <v>206093.0</v>
      </c>
      <c r="D789" s="47" t="str">
        <f>VLOOKUP(C789,'Equalização'!E:J,6,0)</f>
        <v>#N/A</v>
      </c>
    </row>
    <row r="790" ht="15.75" customHeight="1">
      <c r="C790" s="47">
        <v>211670.0</v>
      </c>
      <c r="D790" s="47" t="str">
        <f>VLOOKUP(C790,'Equalização'!E:J,6,0)</f>
        <v>#N/A</v>
      </c>
    </row>
    <row r="791" ht="15.75" customHeight="1">
      <c r="C791" s="47">
        <v>212011.0</v>
      </c>
      <c r="D791" s="47" t="str">
        <f>VLOOKUP(C791,'Equalização'!E:J,6,0)</f>
        <v>#N/A</v>
      </c>
    </row>
    <row r="792" ht="15.75" customHeight="1">
      <c r="C792" s="47">
        <v>207229.0</v>
      </c>
      <c r="D792" s="47" t="str">
        <f>VLOOKUP(C792,'Equalização'!E:J,6,0)</f>
        <v>#N/A</v>
      </c>
    </row>
    <row r="793" ht="15.75" customHeight="1">
      <c r="C793" s="47">
        <v>226254.0</v>
      </c>
      <c r="D793" s="47" t="str">
        <f>VLOOKUP(C793,'Equalização'!E:J,6,0)</f>
        <v>#N/A</v>
      </c>
    </row>
    <row r="794" ht="15.75" customHeight="1">
      <c r="C794" s="47">
        <v>220189.0</v>
      </c>
      <c r="D794" s="47" t="str">
        <f>VLOOKUP(C794,'Equalização'!E:J,6,0)</f>
        <v>#N/A</v>
      </c>
    </row>
    <row r="795" ht="15.75" customHeight="1">
      <c r="C795" s="47">
        <v>206061.0</v>
      </c>
      <c r="D795" s="47" t="str">
        <f>VLOOKUP(C795,'Equalização'!E:J,6,0)</f>
        <v>#N/A</v>
      </c>
    </row>
    <row r="796" ht="15.75" customHeight="1">
      <c r="C796" s="47">
        <v>211671.0</v>
      </c>
      <c r="D796" s="47" t="str">
        <f>VLOOKUP(C796,'Equalização'!E:J,6,0)</f>
        <v>#N/A</v>
      </c>
    </row>
    <row r="797" ht="15.75" customHeight="1">
      <c r="C797" s="47">
        <v>53783.0</v>
      </c>
      <c r="D797" s="47" t="str">
        <f>VLOOKUP(C797,'Equalização'!E:J,6,0)</f>
        <v>#N/A</v>
      </c>
    </row>
    <row r="798" ht="15.75" customHeight="1">
      <c r="C798" s="47">
        <v>207174.0</v>
      </c>
      <c r="D798" s="47" t="str">
        <f>VLOOKUP(C798,'Equalização'!E:J,6,0)</f>
        <v>#N/A</v>
      </c>
    </row>
    <row r="799" ht="15.75" customHeight="1">
      <c r="C799" s="47">
        <v>207215.0</v>
      </c>
      <c r="D799" s="47" t="str">
        <f>VLOOKUP(C799,'Equalização'!E:J,6,0)</f>
        <v>#N/A</v>
      </c>
    </row>
    <row r="800" ht="15.75" customHeight="1">
      <c r="C800" s="47">
        <v>224013.0</v>
      </c>
      <c r="D800" s="47" t="str">
        <f>VLOOKUP(C800,'Equalização'!E:J,6,0)</f>
        <v>#N/A</v>
      </c>
    </row>
    <row r="801" ht="15.75" customHeight="1">
      <c r="C801" s="47">
        <v>237273.0</v>
      </c>
      <c r="D801" s="47" t="str">
        <f>VLOOKUP(C801,'Equalização'!E:J,6,0)</f>
        <v>#N/A</v>
      </c>
    </row>
    <row r="802" ht="15.75" customHeight="1">
      <c r="C802" s="47">
        <v>174263.0</v>
      </c>
      <c r="D802" s="47" t="str">
        <f>VLOOKUP(C802,'Equalização'!E:J,6,0)</f>
        <v>#N/A</v>
      </c>
    </row>
    <row r="803" ht="15.75" customHeight="1">
      <c r="C803" s="47">
        <v>230882.0</v>
      </c>
      <c r="D803" s="47" t="str">
        <f>VLOOKUP(C803,'Equalização'!E:J,6,0)</f>
        <v>#N/A</v>
      </c>
    </row>
    <row r="804" ht="15.75" customHeight="1">
      <c r="C804" s="47">
        <v>57959.0</v>
      </c>
      <c r="D804" s="47" t="str">
        <f>VLOOKUP(C804,'Equalização'!E:J,6,0)</f>
        <v>#N/A</v>
      </c>
    </row>
    <row r="805" ht="15.75" customHeight="1">
      <c r="C805" s="47">
        <v>198754.0</v>
      </c>
      <c r="D805" s="47" t="str">
        <f>VLOOKUP(C805,'Equalização'!E:J,6,0)</f>
        <v>#N/A</v>
      </c>
    </row>
    <row r="806" ht="15.75" customHeight="1">
      <c r="C806" s="47">
        <v>218498.0</v>
      </c>
      <c r="D806" s="47" t="str">
        <f>VLOOKUP(C806,'Equalização'!E:J,6,0)</f>
        <v>#N/A</v>
      </c>
    </row>
    <row r="807" ht="15.75" customHeight="1">
      <c r="C807" s="47">
        <v>158177.0</v>
      </c>
      <c r="D807" s="47" t="str">
        <f>VLOOKUP(C807,'Equalização'!E:J,6,0)</f>
        <v>#N/A</v>
      </c>
    </row>
    <row r="808" ht="15.75" customHeight="1">
      <c r="C808" s="47">
        <v>207224.0</v>
      </c>
      <c r="D808" s="47" t="str">
        <f>VLOOKUP(C808,'Equalização'!E:J,6,0)</f>
        <v>#N/A</v>
      </c>
    </row>
    <row r="809" ht="15.75" customHeight="1">
      <c r="C809" s="47">
        <v>214118.0</v>
      </c>
      <c r="D809" s="47" t="str">
        <f>VLOOKUP(C809,'Equalização'!E:J,6,0)</f>
        <v>#N/A</v>
      </c>
    </row>
    <row r="810" ht="15.75" customHeight="1">
      <c r="C810" s="47">
        <v>205918.0</v>
      </c>
      <c r="D810" s="47" t="str">
        <f>VLOOKUP(C810,'Equalização'!E:J,6,0)</f>
        <v>#N/A</v>
      </c>
    </row>
    <row r="811" ht="15.75" customHeight="1">
      <c r="C811" s="47">
        <v>120287.0</v>
      </c>
      <c r="D811" s="47" t="str">
        <f>VLOOKUP(C811,'Equalização'!E:J,6,0)</f>
        <v>#N/A</v>
      </c>
    </row>
    <row r="812" ht="15.75" customHeight="1">
      <c r="C812" s="47">
        <v>225692.0</v>
      </c>
      <c r="D812" s="47" t="str">
        <f>VLOOKUP(C812,'Equalização'!E:J,6,0)</f>
        <v>#N/A</v>
      </c>
    </row>
    <row r="813" ht="15.75" customHeight="1">
      <c r="C813" s="47">
        <v>225980.0</v>
      </c>
      <c r="D813" s="47" t="str">
        <f>VLOOKUP(C813,'Equalização'!E:J,6,0)</f>
        <v>#N/A</v>
      </c>
    </row>
    <row r="814" ht="15.75" customHeight="1">
      <c r="C814" s="47">
        <v>225659.0</v>
      </c>
      <c r="D814" s="47" t="str">
        <f>VLOOKUP(C814,'Equalização'!E:J,6,0)</f>
        <v>#N/A</v>
      </c>
    </row>
    <row r="815" ht="15.75" customHeight="1">
      <c r="C815" s="47">
        <v>207217.0</v>
      </c>
      <c r="D815" s="47" t="str">
        <f>VLOOKUP(C815,'Equalização'!E:J,6,0)</f>
        <v>#N/A</v>
      </c>
    </row>
    <row r="816" ht="15.75" customHeight="1">
      <c r="C816" s="47">
        <v>205817.0</v>
      </c>
      <c r="D816" s="47" t="str">
        <f>VLOOKUP(C816,'Equalização'!E:J,6,0)</f>
        <v>#N/A</v>
      </c>
    </row>
    <row r="817" ht="15.75" customHeight="1">
      <c r="C817" s="47">
        <v>207170.0</v>
      </c>
      <c r="D817" s="47" t="str">
        <f>VLOOKUP(C817,'Equalização'!E:J,6,0)</f>
        <v>#N/A</v>
      </c>
    </row>
    <row r="818" ht="15.75" customHeight="1">
      <c r="C818" s="47">
        <v>89427.0</v>
      </c>
      <c r="D818" s="47" t="str">
        <f>VLOOKUP(C818,'Equalização'!E:J,6,0)</f>
        <v>#N/A</v>
      </c>
    </row>
    <row r="819" ht="15.75" customHeight="1">
      <c r="C819" s="47">
        <v>225212.0</v>
      </c>
      <c r="D819" s="47" t="str">
        <f>VLOOKUP(C819,'Equalização'!E:J,6,0)</f>
        <v>#N/A</v>
      </c>
    </row>
    <row r="820" ht="15.75" customHeight="1">
      <c r="C820" s="47">
        <v>175375.0</v>
      </c>
      <c r="D820" s="47" t="str">
        <f>VLOOKUP(C820,'Equalização'!E:J,6,0)</f>
        <v>#N/A</v>
      </c>
    </row>
    <row r="821" ht="15.75" customHeight="1">
      <c r="C821" s="47">
        <v>236272.0</v>
      </c>
      <c r="D821" s="47" t="str">
        <f>VLOOKUP(C821,'Equalização'!E:J,6,0)</f>
        <v>#N/A</v>
      </c>
    </row>
    <row r="822" ht="15.75" customHeight="1">
      <c r="C822" s="47">
        <v>206044.0</v>
      </c>
      <c r="D822" s="47" t="str">
        <f>VLOOKUP(C822,'Equalização'!E:J,6,0)</f>
        <v>#N/A</v>
      </c>
    </row>
    <row r="823" ht="15.75" customHeight="1">
      <c r="C823" s="47">
        <v>210638.0</v>
      </c>
      <c r="D823" s="47" t="str">
        <f>VLOOKUP(C823,'Equalização'!E:J,6,0)</f>
        <v>#N/A</v>
      </c>
    </row>
    <row r="824" ht="15.75" customHeight="1">
      <c r="C824" s="47">
        <v>207207.0</v>
      </c>
      <c r="D824" s="47" t="str">
        <f>VLOOKUP(C824,'Equalização'!E:J,6,0)</f>
        <v>#N/A</v>
      </c>
    </row>
    <row r="825" ht="15.75" customHeight="1">
      <c r="C825" s="47">
        <v>204749.0</v>
      </c>
      <c r="D825" s="47" t="str">
        <f>VLOOKUP(C825,'Equalização'!E:J,6,0)</f>
        <v>#N/A</v>
      </c>
    </row>
    <row r="826" ht="15.75" customHeight="1">
      <c r="C826" s="47">
        <v>204802.0</v>
      </c>
      <c r="D826" s="47" t="str">
        <f>VLOOKUP(C826,'Equalização'!E:J,6,0)</f>
        <v>#N/A</v>
      </c>
    </row>
    <row r="827" ht="15.75" customHeight="1">
      <c r="C827" s="47">
        <v>152987.0</v>
      </c>
      <c r="D827" s="47" t="str">
        <f>VLOOKUP(C827,'Equalização'!E:J,6,0)</f>
        <v>#N/A</v>
      </c>
    </row>
    <row r="828" ht="15.75" customHeight="1">
      <c r="C828" s="47">
        <v>230414.0</v>
      </c>
      <c r="D828" s="47" t="str">
        <f>VLOOKUP(C828,'Equalização'!E:J,6,0)</f>
        <v>#N/A</v>
      </c>
    </row>
    <row r="829" ht="15.75" customHeight="1">
      <c r="C829" s="47">
        <v>220190.0</v>
      </c>
      <c r="D829" s="47" t="str">
        <f>VLOOKUP(C829,'Equalização'!E:J,6,0)</f>
        <v>#N/A</v>
      </c>
    </row>
    <row r="830" ht="15.75" customHeight="1">
      <c r="C830" s="47">
        <v>226300.0</v>
      </c>
      <c r="D830" s="47" t="str">
        <f>VLOOKUP(C830,'Equalização'!E:J,6,0)</f>
        <v>#N/A</v>
      </c>
    </row>
    <row r="831" ht="15.75" customHeight="1">
      <c r="C831" s="47">
        <v>238002.0</v>
      </c>
      <c r="D831" s="47" t="str">
        <f>VLOOKUP(C831,'Equalização'!E:J,6,0)</f>
        <v>#N/A</v>
      </c>
    </row>
    <row r="832" ht="15.75" customHeight="1">
      <c r="C832" s="47">
        <v>207799.0</v>
      </c>
      <c r="D832" s="47" t="str">
        <f>VLOOKUP(C832,'Equalização'!E:J,6,0)</f>
        <v>#N/A</v>
      </c>
    </row>
    <row r="833" ht="15.75" customHeight="1">
      <c r="C833" s="47">
        <v>207262.0</v>
      </c>
      <c r="D833" s="47" t="str">
        <f>VLOOKUP(C833,'Equalização'!E:J,6,0)</f>
        <v>#N/A</v>
      </c>
    </row>
    <row r="834" ht="15.75" customHeight="1">
      <c r="C834" s="47">
        <v>225685.0</v>
      </c>
      <c r="D834" s="47" t="str">
        <f>VLOOKUP(C834,'Equalização'!E:J,6,0)</f>
        <v>#N/A</v>
      </c>
    </row>
    <row r="835" ht="15.75" customHeight="1">
      <c r="C835" s="47">
        <v>151074.0</v>
      </c>
      <c r="D835" s="47" t="str">
        <f>VLOOKUP(C835,'Equalização'!E:J,6,0)</f>
        <v>#N/A</v>
      </c>
    </row>
    <row r="836" ht="15.75" customHeight="1">
      <c r="C836" s="47">
        <v>150421.0</v>
      </c>
      <c r="D836" s="47" t="str">
        <f>VLOOKUP(C836,'Equalização'!E:J,6,0)</f>
        <v>#N/A</v>
      </c>
    </row>
    <row r="837" ht="15.75" customHeight="1">
      <c r="C837" s="47">
        <v>56600.0</v>
      </c>
      <c r="D837" s="47" t="str">
        <f>VLOOKUP(C837,'Equalização'!E:J,6,0)</f>
        <v>#N/A</v>
      </c>
    </row>
    <row r="838" ht="15.75" customHeight="1">
      <c r="C838" s="47">
        <v>212003.0</v>
      </c>
      <c r="D838" s="47" t="str">
        <f>VLOOKUP(C838,'Equalização'!E:J,6,0)</f>
        <v>#N/A</v>
      </c>
    </row>
    <row r="839" ht="15.75" customHeight="1">
      <c r="C839" s="47">
        <v>140023.0</v>
      </c>
      <c r="D839" s="47" t="str">
        <f>VLOOKUP(C839,'Equalização'!E:J,6,0)</f>
        <v>#N/A</v>
      </c>
    </row>
    <row r="840" ht="15.75" customHeight="1">
      <c r="C840" s="47">
        <v>208033.0</v>
      </c>
      <c r="D840" s="47" t="str">
        <f>VLOOKUP(C840,'Equalização'!E:J,6,0)</f>
        <v>#N/A</v>
      </c>
    </row>
    <row r="841" ht="15.75" customHeight="1">
      <c r="C841" s="47">
        <v>206389.0</v>
      </c>
      <c r="D841" s="47" t="str">
        <f>VLOOKUP(C841,'Equalização'!E:J,6,0)</f>
        <v>#N/A</v>
      </c>
    </row>
    <row r="842" ht="15.75" customHeight="1">
      <c r="C842" s="47">
        <v>211667.0</v>
      </c>
      <c r="D842" s="47" t="str">
        <f>VLOOKUP(C842,'Equalização'!E:J,6,0)</f>
        <v>#N/A</v>
      </c>
    </row>
    <row r="843" ht="15.75" customHeight="1">
      <c r="C843" s="47">
        <v>225920.0</v>
      </c>
      <c r="D843" s="47" t="str">
        <f>VLOOKUP(C843,'Equalização'!E:J,6,0)</f>
        <v>#N/A</v>
      </c>
    </row>
    <row r="844" ht="15.75" customHeight="1">
      <c r="C844" s="47">
        <v>171992.0</v>
      </c>
      <c r="D844" s="47" t="str">
        <f>VLOOKUP(C844,'Equalização'!E:J,6,0)</f>
        <v>#N/A</v>
      </c>
    </row>
    <row r="845" ht="15.75" customHeight="1">
      <c r="C845" s="47">
        <v>225911.0</v>
      </c>
      <c r="D845" s="47" t="str">
        <f>VLOOKUP(C845,'Equalização'!E:J,6,0)</f>
        <v>#N/A</v>
      </c>
    </row>
    <row r="846" ht="15.75" customHeight="1">
      <c r="C846" s="47">
        <v>211572.0</v>
      </c>
      <c r="D846" s="47" t="str">
        <f>VLOOKUP(C846,'Equalização'!E:J,6,0)</f>
        <v>#N/A</v>
      </c>
    </row>
    <row r="847" ht="15.75" customHeight="1">
      <c r="C847" s="47">
        <v>100412.0</v>
      </c>
      <c r="D847" s="47" t="str">
        <f>VLOOKUP(C847,'Equalização'!E:J,6,0)</f>
        <v>#N/A</v>
      </c>
    </row>
    <row r="848" ht="15.75" customHeight="1">
      <c r="C848" s="47">
        <v>225743.0</v>
      </c>
      <c r="D848" s="47" t="str">
        <f>VLOOKUP(C848,'Equalização'!E:J,6,0)</f>
        <v>#N/A</v>
      </c>
    </row>
    <row r="849" ht="15.75" customHeight="1">
      <c r="C849" s="47">
        <v>140951.0</v>
      </c>
      <c r="D849" s="47" t="str">
        <f>VLOOKUP(C849,'Equalização'!E:J,6,0)</f>
        <v>#N/A</v>
      </c>
    </row>
    <row r="850" ht="15.75" customHeight="1">
      <c r="C850" s="47">
        <v>194847.0</v>
      </c>
      <c r="D850" s="47" t="str">
        <f>VLOOKUP(C850,'Equalização'!E:J,6,0)</f>
        <v>#N/A</v>
      </c>
    </row>
    <row r="851" ht="15.75" customHeight="1">
      <c r="C851" s="47">
        <v>225730.0</v>
      </c>
      <c r="D851" s="47" t="str">
        <f>VLOOKUP(C851,'Equalização'!E:J,6,0)</f>
        <v>#N/A</v>
      </c>
    </row>
    <row r="852" ht="15.75" customHeight="1">
      <c r="C852" s="47">
        <v>225772.0</v>
      </c>
      <c r="D852" s="47" t="str">
        <f>VLOOKUP(C852,'Equalização'!E:J,6,0)</f>
        <v>#N/A</v>
      </c>
    </row>
    <row r="853" ht="15.75" customHeight="1">
      <c r="C853" s="47">
        <v>225889.0</v>
      </c>
      <c r="D853" s="47" t="str">
        <f>VLOOKUP(C853,'Equalização'!E:J,6,0)</f>
        <v>#N/A</v>
      </c>
    </row>
    <row r="854" ht="15.75" customHeight="1">
      <c r="C854" s="47">
        <v>240233.0</v>
      </c>
      <c r="D854" s="47" t="str">
        <f>VLOOKUP(C854,'Equalização'!E:J,6,0)</f>
        <v>#N/A</v>
      </c>
    </row>
    <row r="855" ht="15.75" customHeight="1">
      <c r="C855" s="47">
        <v>226229.0</v>
      </c>
      <c r="D855" s="47" t="str">
        <f>VLOOKUP(C855,'Equalização'!E:J,6,0)</f>
        <v>#N/A</v>
      </c>
    </row>
    <row r="856" ht="15.75" customHeight="1">
      <c r="C856" s="47">
        <v>219830.0</v>
      </c>
      <c r="D856" s="47" t="str">
        <f>VLOOKUP(C856,'Equalização'!E:J,6,0)</f>
        <v>#N/A</v>
      </c>
    </row>
    <row r="857" ht="15.75" customHeight="1">
      <c r="C857" s="47">
        <v>207225.0</v>
      </c>
      <c r="D857" s="47" t="str">
        <f>VLOOKUP(C857,'Equalização'!E:J,6,0)</f>
        <v>#N/A</v>
      </c>
    </row>
    <row r="858" ht="15.75" customHeight="1">
      <c r="C858" s="47">
        <v>198753.0</v>
      </c>
      <c r="D858" s="47" t="str">
        <f>VLOOKUP(C858,'Equalização'!E:J,6,0)</f>
        <v>#N/A</v>
      </c>
    </row>
    <row r="859" ht="15.75" customHeight="1">
      <c r="C859" s="47">
        <v>207798.0</v>
      </c>
      <c r="D859" s="47" t="str">
        <f>VLOOKUP(C859,'Equalização'!E:J,6,0)</f>
        <v>#N/A</v>
      </c>
    </row>
    <row r="860" ht="15.75" customHeight="1">
      <c r="C860" s="47">
        <v>90182.0</v>
      </c>
      <c r="D860" s="47" t="str">
        <f>VLOOKUP(C860,'Equalização'!E:J,6,0)</f>
        <v>#N/A</v>
      </c>
    </row>
    <row r="861" ht="15.75" customHeight="1">
      <c r="C861" s="47">
        <v>225579.0</v>
      </c>
      <c r="D861" s="47" t="str">
        <f>VLOOKUP(C861,'Equalização'!E:J,6,0)</f>
        <v>#N/A</v>
      </c>
    </row>
    <row r="862" ht="15.75" customHeight="1">
      <c r="C862" s="47">
        <v>225591.0</v>
      </c>
      <c r="D862" s="47" t="str">
        <f>VLOOKUP(C862,'Equalização'!E:J,6,0)</f>
        <v>#N/A</v>
      </c>
    </row>
    <row r="863" ht="15.75" customHeight="1">
      <c r="C863" s="47">
        <v>230875.0</v>
      </c>
      <c r="D863" s="47" t="str">
        <f>VLOOKUP(C863,'Equalização'!E:J,6,0)</f>
        <v>#N/A</v>
      </c>
    </row>
    <row r="864" ht="15.75" customHeight="1">
      <c r="C864" s="47">
        <v>204647.0</v>
      </c>
      <c r="D864" s="47" t="str">
        <f>VLOOKUP(C864,'Equalização'!E:J,6,0)</f>
        <v>#N/A</v>
      </c>
    </row>
    <row r="865" ht="15.75" customHeight="1">
      <c r="C865" s="47">
        <v>225625.0</v>
      </c>
      <c r="D865" s="47" t="str">
        <f>VLOOKUP(C865,'Equalização'!E:J,6,0)</f>
        <v>#N/A</v>
      </c>
    </row>
    <row r="866" ht="15.75" customHeight="1">
      <c r="C866" s="47">
        <v>207199.0</v>
      </c>
      <c r="D866" s="47" t="str">
        <f>VLOOKUP(C866,'Equalização'!E:J,6,0)</f>
        <v>#N/A</v>
      </c>
    </row>
    <row r="867" ht="15.75" customHeight="1">
      <c r="C867" s="47">
        <v>75485.0</v>
      </c>
      <c r="D867" s="47" t="str">
        <f>VLOOKUP(C867,'Equalização'!E:J,6,0)</f>
        <v>#N/A</v>
      </c>
    </row>
    <row r="868" ht="15.75" customHeight="1">
      <c r="C868" s="47">
        <v>223356.0</v>
      </c>
      <c r="D868" s="47" t="str">
        <f>VLOOKUP(C868,'Equalização'!E:J,6,0)</f>
        <v>#N/A</v>
      </c>
    </row>
    <row r="869" ht="15.75" customHeight="1">
      <c r="C869" s="47">
        <v>211590.0</v>
      </c>
      <c r="D869" s="47" t="str">
        <f>VLOOKUP(C869,'Equalização'!E:J,6,0)</f>
        <v>#N/A</v>
      </c>
    </row>
    <row r="870" ht="15.75" customHeight="1">
      <c r="C870" s="47">
        <v>168731.0</v>
      </c>
      <c r="D870" s="47" t="str">
        <f>VLOOKUP(C870,'Equalização'!E:J,6,0)</f>
        <v>#N/A</v>
      </c>
    </row>
    <row r="871" ht="15.75" customHeight="1">
      <c r="C871" s="47">
        <v>213805.0</v>
      </c>
      <c r="D871" s="47" t="str">
        <f>VLOOKUP(C871,'Equalização'!E:J,6,0)</f>
        <v>#N/A</v>
      </c>
    </row>
    <row r="872" ht="15.75" customHeight="1">
      <c r="C872" s="47">
        <v>207791.0</v>
      </c>
      <c r="D872" s="47" t="str">
        <f>VLOOKUP(C872,'Equalização'!E:J,6,0)</f>
        <v>#N/A</v>
      </c>
    </row>
    <row r="873" ht="15.75" customHeight="1">
      <c r="C873" s="47">
        <v>227539.0</v>
      </c>
      <c r="D873" s="47" t="str">
        <f>VLOOKUP(C873,'Equalização'!E:J,6,0)</f>
        <v>#N/A</v>
      </c>
    </row>
    <row r="874" ht="15.75" customHeight="1">
      <c r="C874" s="47">
        <v>238845.0</v>
      </c>
      <c r="D874" s="47" t="str">
        <f>VLOOKUP(C874,'Equalização'!E:J,6,0)</f>
        <v>#N/A</v>
      </c>
    </row>
    <row r="875" ht="15.75" customHeight="1">
      <c r="C875" s="47">
        <v>200676.0</v>
      </c>
      <c r="D875" s="47" t="str">
        <f>VLOOKUP(C875,'Equalização'!E:J,6,0)</f>
        <v>#N/A</v>
      </c>
    </row>
    <row r="876" ht="15.75" customHeight="1">
      <c r="C876" s="47">
        <v>230874.0</v>
      </c>
      <c r="D876" s="47" t="str">
        <f>VLOOKUP(C876,'Equalização'!E:J,6,0)</f>
        <v>#N/A</v>
      </c>
    </row>
    <row r="877" ht="15.75" customHeight="1">
      <c r="C877" s="47">
        <v>210845.0</v>
      </c>
      <c r="D877" s="47" t="str">
        <f>VLOOKUP(C877,'Equalização'!E:J,6,0)</f>
        <v>#N/A</v>
      </c>
    </row>
    <row r="878" ht="15.75" customHeight="1">
      <c r="C878" s="47">
        <v>225923.0</v>
      </c>
      <c r="D878" s="47" t="str">
        <f>VLOOKUP(C878,'Equalização'!E:J,6,0)</f>
        <v>#N/A</v>
      </c>
    </row>
    <row r="879" ht="15.75" customHeight="1">
      <c r="C879" s="47">
        <v>225562.0</v>
      </c>
      <c r="D879" s="47" t="str">
        <f>VLOOKUP(C879,'Equalização'!E:J,6,0)</f>
        <v>#N/A</v>
      </c>
    </row>
    <row r="880" ht="15.75" customHeight="1">
      <c r="C880" s="47">
        <v>207171.0</v>
      </c>
      <c r="D880" s="47" t="str">
        <f>VLOOKUP(C880,'Equalização'!E:J,6,0)</f>
        <v>#N/A</v>
      </c>
    </row>
    <row r="881" ht="15.75" customHeight="1">
      <c r="C881" s="47">
        <v>152397.0</v>
      </c>
      <c r="D881" s="47" t="str">
        <f>VLOOKUP(C881,'Equalização'!E:J,6,0)</f>
        <v>#N/A</v>
      </c>
    </row>
    <row r="882" ht="15.75" customHeight="1">
      <c r="C882" s="47">
        <v>214062.0</v>
      </c>
      <c r="D882" s="47" t="str">
        <f>VLOOKUP(C882,'Equalização'!E:J,6,0)</f>
        <v>#N/A</v>
      </c>
    </row>
    <row r="883" ht="15.75" customHeight="1">
      <c r="C883" s="47">
        <v>225590.0</v>
      </c>
      <c r="D883" s="47" t="str">
        <f>VLOOKUP(C883,'Equalização'!E:J,6,0)</f>
        <v>#N/A</v>
      </c>
    </row>
    <row r="884" ht="15.75" customHeight="1">
      <c r="C884" s="47">
        <v>222245.0</v>
      </c>
      <c r="D884" s="47" t="str">
        <f>VLOOKUP(C884,'Equalização'!E:J,6,0)</f>
        <v>#N/A</v>
      </c>
    </row>
    <row r="885" ht="15.75" customHeight="1">
      <c r="C885" s="47">
        <v>221420.0</v>
      </c>
      <c r="D885" s="47" t="str">
        <f>VLOOKUP(C885,'Equalização'!E:J,6,0)</f>
        <v>#N/A</v>
      </c>
    </row>
    <row r="886" ht="15.75" customHeight="1">
      <c r="C886" s="47">
        <v>213040.0</v>
      </c>
      <c r="D886" s="47" t="str">
        <f>VLOOKUP(C886,'Equalização'!E:J,6,0)</f>
        <v>#N/A</v>
      </c>
    </row>
    <row r="887" ht="15.75" customHeight="1">
      <c r="C887" s="47">
        <v>237782.0</v>
      </c>
      <c r="D887" s="47" t="str">
        <f>VLOOKUP(C887,'Equalização'!E:J,6,0)</f>
        <v>#N/A</v>
      </c>
    </row>
    <row r="888" ht="15.75" customHeight="1">
      <c r="C888" s="47">
        <v>225588.0</v>
      </c>
      <c r="D888" s="47" t="str">
        <f>VLOOKUP(C888,'Equalização'!E:J,6,0)</f>
        <v>#N/A</v>
      </c>
    </row>
    <row r="889" ht="15.75" customHeight="1">
      <c r="C889" s="47">
        <v>149747.0</v>
      </c>
      <c r="D889" s="47" t="str">
        <f>VLOOKUP(C889,'Equalização'!E:J,6,0)</f>
        <v>#N/A</v>
      </c>
    </row>
    <row r="890" ht="15.75" customHeight="1">
      <c r="C890" s="47">
        <v>211668.0</v>
      </c>
      <c r="D890" s="47" t="str">
        <f>VLOOKUP(C890,'Equalização'!E:J,6,0)</f>
        <v>#N/A</v>
      </c>
    </row>
    <row r="891" ht="15.75" customHeight="1">
      <c r="C891" s="47">
        <v>226285.0</v>
      </c>
      <c r="D891" s="47" t="str">
        <f>VLOOKUP(C891,'Equalização'!E:J,6,0)</f>
        <v>#N/A</v>
      </c>
    </row>
    <row r="892" ht="15.75" customHeight="1">
      <c r="C892" s="47">
        <v>240225.0</v>
      </c>
      <c r="D892" s="47" t="str">
        <f>VLOOKUP(C892,'Equalização'!E:J,6,0)</f>
        <v>#N/A</v>
      </c>
    </row>
    <row r="893" ht="15.75" customHeight="1">
      <c r="C893" s="47">
        <v>225858.0</v>
      </c>
      <c r="D893" s="47" t="str">
        <f>VLOOKUP(C893,'Equalização'!E:J,6,0)</f>
        <v>#N/A</v>
      </c>
    </row>
    <row r="894" ht="15.75" customHeight="1">
      <c r="C894" s="47">
        <v>227251.0</v>
      </c>
      <c r="D894" s="47" t="str">
        <f>VLOOKUP(C894,'Equalização'!E:J,6,0)</f>
        <v>#N/A</v>
      </c>
    </row>
    <row r="895" ht="15.75" customHeight="1">
      <c r="C895" s="47">
        <v>207793.0</v>
      </c>
      <c r="D895" s="47" t="str">
        <f>VLOOKUP(C895,'Equalização'!E:J,6,0)</f>
        <v>#N/A</v>
      </c>
    </row>
    <row r="896" ht="15.75" customHeight="1">
      <c r="C896" s="47">
        <v>56545.0</v>
      </c>
      <c r="D896" s="47" t="str">
        <f>VLOOKUP(C896,'Equalização'!E:J,6,0)</f>
        <v>#N/A</v>
      </c>
    </row>
    <row r="897" ht="15.75" customHeight="1">
      <c r="C897" s="47">
        <v>213257.0</v>
      </c>
      <c r="D897" s="47" t="str">
        <f>VLOOKUP(C897,'Equalização'!E:J,6,0)</f>
        <v>#N/A</v>
      </c>
    </row>
    <row r="898" ht="15.75" customHeight="1">
      <c r="C898" s="47">
        <v>230877.0</v>
      </c>
      <c r="D898" s="47" t="str">
        <f>VLOOKUP(C898,'Equalização'!E:J,6,0)</f>
        <v>#N/A</v>
      </c>
    </row>
    <row r="899" ht="15.75" customHeight="1">
      <c r="C899" s="47">
        <v>206017.0</v>
      </c>
      <c r="D899" s="47" t="str">
        <f>VLOOKUP(C899,'Equalização'!E:J,6,0)</f>
        <v>#N/A</v>
      </c>
    </row>
    <row r="900" ht="15.75" customHeight="1">
      <c r="C900" s="47">
        <v>220143.0</v>
      </c>
      <c r="D900" s="47" t="str">
        <f>VLOOKUP(C900,'Equalização'!E:J,6,0)</f>
        <v>#N/A</v>
      </c>
    </row>
    <row r="901" ht="15.75" customHeight="1">
      <c r="C901" s="47">
        <v>223344.0</v>
      </c>
      <c r="D901" s="47" t="str">
        <f>VLOOKUP(C901,'Equalização'!E:J,6,0)</f>
        <v>#N/A</v>
      </c>
    </row>
    <row r="902" ht="15.75" customHeight="1">
      <c r="C902" s="47">
        <v>204760.0</v>
      </c>
      <c r="D902" s="47" t="str">
        <f>VLOOKUP(C902,'Equalização'!E:J,6,0)</f>
        <v>#N/A</v>
      </c>
    </row>
    <row r="903" ht="15.75" customHeight="1">
      <c r="C903" s="47">
        <v>227754.0</v>
      </c>
      <c r="D903" s="47" t="str">
        <f>VLOOKUP(C903,'Equalização'!E:J,6,0)</f>
        <v>#N/A</v>
      </c>
    </row>
    <row r="904" ht="15.75" customHeight="1">
      <c r="C904" s="47">
        <v>225803.0</v>
      </c>
      <c r="D904" s="47" t="str">
        <f>VLOOKUP(C904,'Equalização'!E:J,6,0)</f>
        <v>#N/A</v>
      </c>
    </row>
    <row r="905" ht="15.75" customHeight="1">
      <c r="C905" s="47">
        <v>207214.0</v>
      </c>
      <c r="D905" s="47" t="str">
        <f>VLOOKUP(C905,'Equalização'!E:J,6,0)</f>
        <v>#N/A</v>
      </c>
    </row>
    <row r="906" ht="15.75" customHeight="1">
      <c r="C906" s="47">
        <v>164382.0</v>
      </c>
      <c r="D906" s="47" t="str">
        <f>VLOOKUP(C906,'Equalização'!E:J,6,0)</f>
        <v>#N/A</v>
      </c>
    </row>
    <row r="907" ht="15.75" customHeight="1">
      <c r="C907" s="47">
        <v>191204.0</v>
      </c>
      <c r="D907" s="47" t="str">
        <f>VLOOKUP(C907,'Equalização'!E:J,6,0)</f>
        <v>#N/A</v>
      </c>
    </row>
    <row r="908" ht="15.75" customHeight="1">
      <c r="C908" s="47">
        <v>204707.0</v>
      </c>
      <c r="D908" s="47" t="str">
        <f>VLOOKUP(C908,'Equalização'!E:J,6,0)</f>
        <v>#N/A</v>
      </c>
    </row>
    <row r="909" ht="15.75" customHeight="1">
      <c r="C909" s="47">
        <v>206034.0</v>
      </c>
      <c r="D909" s="47" t="str">
        <f>VLOOKUP(C909,'Equalização'!E:J,6,0)</f>
        <v>#N/A</v>
      </c>
    </row>
    <row r="910" ht="15.75" customHeight="1">
      <c r="C910" s="47">
        <v>214049.0</v>
      </c>
      <c r="D910" s="47" t="str">
        <f>VLOOKUP(C910,'Equalização'!E:J,6,0)</f>
        <v>#N/A</v>
      </c>
    </row>
    <row r="911" ht="15.75" customHeight="1">
      <c r="C911" s="47">
        <v>223700.0</v>
      </c>
      <c r="D911" s="47" t="str">
        <f>VLOOKUP(C911,'Equalização'!E:J,6,0)</f>
        <v>#N/A</v>
      </c>
    </row>
    <row r="912" ht="15.75" customHeight="1">
      <c r="C912" s="47">
        <v>238426.0</v>
      </c>
      <c r="D912" s="47" t="str">
        <f>VLOOKUP(C912,'Equalização'!E:J,6,0)</f>
        <v>#N/A</v>
      </c>
    </row>
    <row r="913" ht="15.75" customHeight="1">
      <c r="C913" s="47">
        <v>206016.0</v>
      </c>
      <c r="D913" s="47" t="str">
        <f>VLOOKUP(C913,'Equalização'!E:J,6,0)</f>
        <v>#N/A</v>
      </c>
    </row>
    <row r="914" ht="15.75" customHeight="1">
      <c r="C914" s="47">
        <v>222441.0</v>
      </c>
      <c r="D914" s="47" t="str">
        <f>VLOOKUP(C914,'Equalização'!E:J,6,0)</f>
        <v>#N/A</v>
      </c>
    </row>
    <row r="915" ht="15.75" customHeight="1">
      <c r="C915" s="47">
        <v>135644.0</v>
      </c>
      <c r="D915" s="47" t="str">
        <f>VLOOKUP(C915,'Equalização'!E:J,6,0)</f>
        <v>#N/A</v>
      </c>
    </row>
    <row r="916" ht="15.75" customHeight="1">
      <c r="C916" s="47">
        <v>225593.0</v>
      </c>
      <c r="D916" s="47" t="str">
        <f>VLOOKUP(C916,'Equalização'!E:J,6,0)</f>
        <v>#N/A</v>
      </c>
    </row>
    <row r="917" ht="15.75" customHeight="1">
      <c r="C917" s="47">
        <v>214034.0</v>
      </c>
      <c r="D917" s="47" t="str">
        <f>VLOOKUP(C917,'Equalização'!E:J,6,0)</f>
        <v>#N/A</v>
      </c>
    </row>
    <row r="918" ht="15.75" customHeight="1">
      <c r="C918" s="47">
        <v>207192.0</v>
      </c>
      <c r="D918" s="47" t="str">
        <f>VLOOKUP(C918,'Equalização'!E:J,6,0)</f>
        <v>#N/A</v>
      </c>
    </row>
    <row r="919" ht="15.75" customHeight="1">
      <c r="C919" s="47">
        <v>210435.0</v>
      </c>
      <c r="D919" s="47" t="str">
        <f>VLOOKUP(C919,'Equalização'!E:J,6,0)</f>
        <v>#N/A</v>
      </c>
    </row>
    <row r="920" ht="15.75" customHeight="1">
      <c r="C920" s="47">
        <v>214528.0</v>
      </c>
      <c r="D920" s="47" t="str">
        <f>VLOOKUP(C920,'Equalização'!E:J,6,0)</f>
        <v>#N/A</v>
      </c>
    </row>
    <row r="921" ht="15.75" customHeight="1">
      <c r="C921" s="47">
        <v>221276.0</v>
      </c>
      <c r="D921" s="47" t="str">
        <f>VLOOKUP(C921,'Equalização'!E:J,6,0)</f>
        <v>#N/A</v>
      </c>
    </row>
    <row r="922" ht="15.75" customHeight="1">
      <c r="C922" s="47">
        <v>213108.0</v>
      </c>
      <c r="D922" s="47" t="str">
        <f>VLOOKUP(C922,'Equalização'!E:J,6,0)</f>
        <v>#N/A</v>
      </c>
    </row>
    <row r="923" ht="15.75" customHeight="1">
      <c r="C923" s="47">
        <v>219899.0</v>
      </c>
      <c r="D923" s="47" t="str">
        <f>VLOOKUP(C923,'Equalização'!E:J,6,0)</f>
        <v>#N/A</v>
      </c>
    </row>
    <row r="924" ht="15.75" customHeight="1">
      <c r="C924" s="47">
        <v>207173.0</v>
      </c>
      <c r="D924" s="47" t="str">
        <f>VLOOKUP(C924,'Equalização'!E:J,6,0)</f>
        <v>#N/A</v>
      </c>
    </row>
    <row r="925" ht="15.75" customHeight="1">
      <c r="C925" s="47">
        <v>206062.0</v>
      </c>
      <c r="D925" s="47" t="str">
        <f>VLOOKUP(C925,'Equalização'!E:J,6,0)</f>
        <v>#N/A</v>
      </c>
    </row>
    <row r="926" ht="15.75" customHeight="1">
      <c r="C926" s="47">
        <v>239788.0</v>
      </c>
      <c r="D926" s="47" t="str">
        <f>VLOOKUP(C926,'Equalização'!E:J,6,0)</f>
        <v>#N/A</v>
      </c>
    </row>
    <row r="927" ht="15.75" customHeight="1">
      <c r="C927" s="47">
        <v>225585.0</v>
      </c>
      <c r="D927" s="47" t="str">
        <f>VLOOKUP(C927,'Equalização'!E:J,6,0)</f>
        <v>#N/A</v>
      </c>
    </row>
    <row r="928" ht="15.75" customHeight="1">
      <c r="C928" s="47">
        <v>225211.0</v>
      </c>
      <c r="D928" s="47" t="str">
        <f>VLOOKUP(C928,'Equalização'!E:J,6,0)</f>
        <v>#N/A</v>
      </c>
    </row>
    <row r="929" ht="15.75" customHeight="1">
      <c r="C929" s="47">
        <v>211128.0</v>
      </c>
      <c r="D929" s="47" t="str">
        <f>VLOOKUP(C929,'Equalização'!E:J,6,0)</f>
        <v>#N/A</v>
      </c>
    </row>
    <row r="930" ht="15.75" customHeight="1">
      <c r="C930" s="47">
        <v>204959.0</v>
      </c>
      <c r="D930" s="47" t="str">
        <f>VLOOKUP(C930,'Equalização'!E:J,6,0)</f>
        <v>#N/A</v>
      </c>
    </row>
    <row r="931" ht="15.75" customHeight="1">
      <c r="C931" s="47">
        <v>213497.0</v>
      </c>
      <c r="D931" s="47" t="str">
        <f>VLOOKUP(C931,'Equalização'!E:J,6,0)</f>
        <v>#N/A</v>
      </c>
    </row>
    <row r="932" ht="15.75" customHeight="1">
      <c r="C932" s="47">
        <v>211141.0</v>
      </c>
      <c r="D932" s="47" t="str">
        <f>VLOOKUP(C932,'Equalização'!E:J,6,0)</f>
        <v>#N/A</v>
      </c>
    </row>
    <row r="933" ht="15.75" customHeight="1">
      <c r="C933" s="47">
        <v>154216.0</v>
      </c>
      <c r="D933" s="47" t="str">
        <f>VLOOKUP(C933,'Equalização'!E:J,6,0)</f>
        <v>#N/A</v>
      </c>
    </row>
    <row r="934" ht="15.75" customHeight="1">
      <c r="C934" s="47">
        <v>223636.0</v>
      </c>
      <c r="D934" s="47" t="str">
        <f>VLOOKUP(C934,'Equalização'!E:J,6,0)</f>
        <v>#N/A</v>
      </c>
    </row>
    <row r="935" ht="15.75" customHeight="1">
      <c r="C935" s="47">
        <v>225653.0</v>
      </c>
      <c r="D935" s="47" t="str">
        <f>VLOOKUP(C935,'Equalização'!E:J,6,0)</f>
        <v>#N/A</v>
      </c>
    </row>
    <row r="936" ht="15.75" customHeight="1">
      <c r="C936" s="47">
        <v>224722.0</v>
      </c>
      <c r="D936" s="47" t="str">
        <f>VLOOKUP(C936,'Equalização'!E:J,6,0)</f>
        <v>#N/A</v>
      </c>
    </row>
    <row r="937" ht="15.75" customHeight="1">
      <c r="C937" s="47">
        <v>222803.0</v>
      </c>
      <c r="D937" s="47" t="str">
        <f>VLOOKUP(C937,'Equalização'!E:J,6,0)</f>
        <v>#N/A</v>
      </c>
    </row>
    <row r="938" ht="15.75" customHeight="1">
      <c r="C938" s="47">
        <v>222804.0</v>
      </c>
      <c r="D938" s="47" t="str">
        <f>VLOOKUP(C938,'Equalização'!E:J,6,0)</f>
        <v>#N/A</v>
      </c>
    </row>
    <row r="939" ht="15.75" customHeight="1">
      <c r="C939" s="47">
        <v>57282.0</v>
      </c>
      <c r="D939" s="47" t="str">
        <f>VLOOKUP(C939,'Equalização'!E:J,6,0)</f>
        <v>#N/A</v>
      </c>
    </row>
    <row r="940" ht="15.75" customHeight="1">
      <c r="C940" s="47">
        <v>211647.0</v>
      </c>
      <c r="D940" s="47" t="str">
        <f>VLOOKUP(C940,'Equalização'!E:J,6,0)</f>
        <v>#N/A</v>
      </c>
    </row>
    <row r="941" ht="15.75" customHeight="1">
      <c r="C941" s="47">
        <v>211622.0</v>
      </c>
      <c r="D941" s="47" t="str">
        <f>VLOOKUP(C941,'Equalização'!E:J,6,0)</f>
        <v>#N/A</v>
      </c>
    </row>
    <row r="942" ht="15.75" customHeight="1">
      <c r="C942" s="47">
        <v>230794.0</v>
      </c>
      <c r="D942" s="47" t="str">
        <f>VLOOKUP(C942,'Equalização'!E:J,6,0)</f>
        <v>#N/A</v>
      </c>
    </row>
    <row r="943" ht="15.75" customHeight="1">
      <c r="C943" s="47">
        <v>211797.0</v>
      </c>
      <c r="D943" s="47" t="str">
        <f>VLOOKUP(C943,'Equalização'!E:J,6,0)</f>
        <v>#N/A</v>
      </c>
    </row>
    <row r="944" ht="15.75" customHeight="1">
      <c r="C944" s="47">
        <v>100420.0</v>
      </c>
      <c r="D944" s="47" t="str">
        <f>VLOOKUP(C944,'Equalização'!E:J,6,0)</f>
        <v>#N/A</v>
      </c>
    </row>
    <row r="945" ht="15.75" customHeight="1">
      <c r="C945" s="47">
        <v>204768.0</v>
      </c>
      <c r="D945" s="47" t="str">
        <f>VLOOKUP(C945,'Equalização'!E:J,6,0)</f>
        <v>#N/A</v>
      </c>
    </row>
    <row r="946" ht="15.75" customHeight="1">
      <c r="C946" s="47">
        <v>213052.0</v>
      </c>
      <c r="D946" s="47" t="str">
        <f>VLOOKUP(C946,'Equalização'!E:J,6,0)</f>
        <v>#N/A</v>
      </c>
    </row>
    <row r="947" ht="15.75" customHeight="1">
      <c r="C947" s="47">
        <v>204944.0</v>
      </c>
      <c r="D947" s="47" t="str">
        <f>VLOOKUP(C947,'Equalização'!E:J,6,0)</f>
        <v>#N/A</v>
      </c>
    </row>
    <row r="948" ht="15.75" customHeight="1">
      <c r="C948" s="47">
        <v>213145.0</v>
      </c>
      <c r="D948" s="47" t="str">
        <f>VLOOKUP(C948,'Equalização'!E:J,6,0)</f>
        <v>#N/A</v>
      </c>
    </row>
    <row r="949" ht="15.75" customHeight="1">
      <c r="C949" s="47">
        <v>64246.0</v>
      </c>
      <c r="D949" s="47" t="str">
        <f>VLOOKUP(C949,'Equalização'!E:J,6,0)</f>
        <v>#N/A</v>
      </c>
    </row>
    <row r="950" ht="15.75" customHeight="1">
      <c r="C950" s="47">
        <v>207161.0</v>
      </c>
      <c r="D950" s="47" t="str">
        <f>VLOOKUP(C950,'Equalização'!E:J,6,0)</f>
        <v>#N/A</v>
      </c>
    </row>
    <row r="951" ht="15.75" customHeight="1">
      <c r="C951" s="47">
        <v>222200.0</v>
      </c>
      <c r="D951" s="47" t="str">
        <f>VLOOKUP(C951,'Equalização'!E:J,6,0)</f>
        <v>#N/A</v>
      </c>
    </row>
    <row r="952" ht="15.75" customHeight="1">
      <c r="C952" s="47">
        <v>230734.0</v>
      </c>
      <c r="D952" s="47" t="str">
        <f>VLOOKUP(C952,'Equalização'!E:J,6,0)</f>
        <v>#N/A</v>
      </c>
    </row>
    <row r="953" ht="15.75" customHeight="1">
      <c r="C953" s="47">
        <v>221273.0</v>
      </c>
      <c r="D953" s="47" t="str">
        <f>VLOOKUP(C953,'Equalização'!E:J,6,0)</f>
        <v>#N/A</v>
      </c>
    </row>
    <row r="954" ht="15.75" customHeight="1">
      <c r="C954" s="47">
        <v>184087.0</v>
      </c>
      <c r="D954" s="47" t="str">
        <f>VLOOKUP(C954,'Equalização'!E:J,6,0)</f>
        <v>#N/A</v>
      </c>
    </row>
    <row r="955" ht="15.75" customHeight="1">
      <c r="C955" s="47">
        <v>189220.0</v>
      </c>
      <c r="D955" s="47" t="str">
        <f>VLOOKUP(C955,'Equalização'!E:J,6,0)</f>
        <v>#N/A</v>
      </c>
    </row>
    <row r="956" ht="15.75" customHeight="1">
      <c r="C956" s="47">
        <v>207785.0</v>
      </c>
      <c r="D956" s="47" t="str">
        <f>VLOOKUP(C956,'Equalização'!E:J,6,0)</f>
        <v>#N/A</v>
      </c>
    </row>
    <row r="957" ht="15.75" customHeight="1">
      <c r="C957" s="47">
        <v>230883.0</v>
      </c>
      <c r="D957" s="47" t="str">
        <f>VLOOKUP(C957,'Equalização'!E:J,6,0)</f>
        <v>#N/A</v>
      </c>
    </row>
    <row r="958" ht="15.75" customHeight="1">
      <c r="C958" s="47">
        <v>119195.0</v>
      </c>
      <c r="D958" s="47" t="str">
        <f>VLOOKUP(C958,'Equalização'!E:J,6,0)</f>
        <v>#N/A</v>
      </c>
    </row>
    <row r="959" ht="15.75" customHeight="1">
      <c r="C959" s="47">
        <v>204701.0</v>
      </c>
      <c r="D959" s="47" t="str">
        <f>VLOOKUP(C959,'Equalização'!E:J,6,0)</f>
        <v>#N/A</v>
      </c>
    </row>
    <row r="960" ht="15.75" customHeight="1">
      <c r="C960" s="47">
        <v>220016.0</v>
      </c>
      <c r="D960" s="47" t="str">
        <f>VLOOKUP(C960,'Equalização'!E:J,6,0)</f>
        <v>#N/A</v>
      </c>
    </row>
    <row r="961" ht="15.75" customHeight="1">
      <c r="C961" s="47">
        <v>213806.0</v>
      </c>
      <c r="D961" s="47" t="str">
        <f>VLOOKUP(C961,'Equalização'!E:J,6,0)</f>
        <v>#N/A</v>
      </c>
    </row>
    <row r="962" ht="15.75" customHeight="1">
      <c r="C962" s="47">
        <v>236222.0</v>
      </c>
      <c r="D962" s="47" t="str">
        <f>VLOOKUP(C962,'Equalização'!E:J,6,0)</f>
        <v>#N/A</v>
      </c>
    </row>
    <row r="963" ht="15.75" customHeight="1">
      <c r="C963" s="47">
        <v>209843.0</v>
      </c>
      <c r="D963" s="47" t="str">
        <f>VLOOKUP(C963,'Equalização'!E:J,6,0)</f>
        <v>#N/A</v>
      </c>
    </row>
    <row r="964" ht="15.75" customHeight="1">
      <c r="C964" s="47">
        <v>213139.0</v>
      </c>
      <c r="D964" s="47" t="str">
        <f>VLOOKUP(C964,'Equalização'!E:J,6,0)</f>
        <v>#N/A</v>
      </c>
    </row>
    <row r="965" ht="15.75" customHeight="1">
      <c r="C965" s="47">
        <v>204958.0</v>
      </c>
      <c r="D965" s="47" t="str">
        <f>VLOOKUP(C965,'Equalização'!E:J,6,0)</f>
        <v>#N/A</v>
      </c>
    </row>
    <row r="966" ht="15.75" customHeight="1">
      <c r="C966" s="47">
        <v>214065.0</v>
      </c>
      <c r="D966" s="47" t="str">
        <f>VLOOKUP(C966,'Equalização'!E:J,6,0)</f>
        <v>#N/A</v>
      </c>
    </row>
    <row r="967" ht="15.75" customHeight="1">
      <c r="C967" s="47">
        <v>213106.0</v>
      </c>
      <c r="D967" s="47" t="str">
        <f>VLOOKUP(C967,'Equalização'!E:J,6,0)</f>
        <v>#N/A</v>
      </c>
    </row>
    <row r="968" ht="15.75" customHeight="1">
      <c r="C968" s="47">
        <v>184279.0</v>
      </c>
      <c r="D968" s="47" t="str">
        <f>VLOOKUP(C968,'Equalização'!E:J,6,0)</f>
        <v>#N/A</v>
      </c>
    </row>
    <row r="969" ht="15.75" customHeight="1">
      <c r="C969" s="47">
        <v>207149.0</v>
      </c>
      <c r="D969" s="47" t="str">
        <f>VLOOKUP(C969,'Equalização'!E:J,6,0)</f>
        <v>#N/A</v>
      </c>
    </row>
    <row r="970" ht="15.75" customHeight="1">
      <c r="C970" s="47">
        <v>226315.0</v>
      </c>
      <c r="D970" s="47" t="str">
        <f>VLOOKUP(C970,'Equalização'!E:J,6,0)</f>
        <v>#N/A</v>
      </c>
    </row>
    <row r="971" ht="15.75" customHeight="1">
      <c r="C971" s="47">
        <v>217078.0</v>
      </c>
      <c r="D971" s="47" t="str">
        <f>VLOOKUP(C971,'Equalização'!E:J,6,0)</f>
        <v>#N/A</v>
      </c>
    </row>
    <row r="972" ht="15.75" customHeight="1">
      <c r="C972" s="47">
        <v>225705.0</v>
      </c>
      <c r="D972" s="47" t="str">
        <f>VLOOKUP(C972,'Equalização'!E:J,6,0)</f>
        <v>#N/A</v>
      </c>
    </row>
    <row r="973" ht="15.75" customHeight="1">
      <c r="C973" s="47">
        <v>211592.0</v>
      </c>
      <c r="D973" s="47" t="str">
        <f>VLOOKUP(C973,'Equalização'!E:J,6,0)</f>
        <v>#N/A</v>
      </c>
    </row>
    <row r="974" ht="15.75" customHeight="1">
      <c r="C974" s="47">
        <v>213105.0</v>
      </c>
      <c r="D974" s="47" t="str">
        <f>VLOOKUP(C974,'Equalização'!E:J,6,0)</f>
        <v>#N/A</v>
      </c>
    </row>
    <row r="975" ht="15.75" customHeight="1">
      <c r="C975" s="47">
        <v>225677.0</v>
      </c>
      <c r="D975" s="47" t="str">
        <f>VLOOKUP(C975,'Equalização'!E:J,6,0)</f>
        <v>#N/A</v>
      </c>
    </row>
    <row r="976" ht="15.75" customHeight="1">
      <c r="C976" s="47">
        <v>204715.0</v>
      </c>
      <c r="D976" s="47" t="str">
        <f>VLOOKUP(C976,'Equalização'!E:J,6,0)</f>
        <v>#N/A</v>
      </c>
    </row>
    <row r="977" ht="15.75" customHeight="1">
      <c r="C977" s="47">
        <v>215494.0</v>
      </c>
      <c r="D977" s="47" t="str">
        <f>VLOOKUP(C977,'Equalização'!E:J,6,0)</f>
        <v>#N/A</v>
      </c>
    </row>
    <row r="978" ht="15.75" customHeight="1">
      <c r="C978" s="47">
        <v>230673.0</v>
      </c>
      <c r="D978" s="47" t="str">
        <f>VLOOKUP(C978,'Equalização'!E:J,6,0)</f>
        <v>#N/A</v>
      </c>
    </row>
    <row r="979" ht="15.75" customHeight="1">
      <c r="C979" s="47">
        <v>169146.0</v>
      </c>
      <c r="D979" s="47" t="str">
        <f>VLOOKUP(C979,'Equalização'!E:J,6,0)</f>
        <v>#N/A</v>
      </c>
    </row>
    <row r="980" ht="15.75" customHeight="1">
      <c r="C980" s="47">
        <v>211593.0</v>
      </c>
      <c r="D980" s="47" t="str">
        <f>VLOOKUP(C980,'Equalização'!E:J,6,0)</f>
        <v>#N/A</v>
      </c>
    </row>
    <row r="981" ht="15.75" customHeight="1">
      <c r="C981" s="47">
        <v>226358.0</v>
      </c>
      <c r="D981" s="47" t="str">
        <f>VLOOKUP(C981,'Equalização'!E:J,6,0)</f>
        <v>#N/A</v>
      </c>
    </row>
    <row r="982" ht="15.75" customHeight="1">
      <c r="C982" s="47">
        <v>217036.0</v>
      </c>
      <c r="D982" s="47" t="str">
        <f>VLOOKUP(C982,'Equalização'!E:J,6,0)</f>
        <v>#N/A</v>
      </c>
    </row>
    <row r="983" ht="15.75" customHeight="1">
      <c r="C983" s="47">
        <v>238431.0</v>
      </c>
      <c r="D983" s="47" t="str">
        <f>VLOOKUP(C983,'Equalização'!E:J,6,0)</f>
        <v>#N/A</v>
      </c>
    </row>
    <row r="984" ht="15.75" customHeight="1">
      <c r="C984" s="47">
        <v>226209.0</v>
      </c>
      <c r="D984" s="47" t="str">
        <f>VLOOKUP(C984,'Equalização'!E:J,6,0)</f>
        <v>#N/A</v>
      </c>
    </row>
    <row r="985" ht="15.75" customHeight="1">
      <c r="C985" s="47">
        <v>204706.0</v>
      </c>
      <c r="D985" s="47" t="str">
        <f>VLOOKUP(C985,'Equalização'!E:J,6,0)</f>
        <v>#N/A</v>
      </c>
    </row>
    <row r="986" ht="15.75" customHeight="1">
      <c r="C986" s="47">
        <v>223445.0</v>
      </c>
      <c r="D986" s="47" t="str">
        <f>VLOOKUP(C986,'Equalização'!E:J,6,0)</f>
        <v>#N/A</v>
      </c>
    </row>
    <row r="987" ht="15.75" customHeight="1">
      <c r="C987" s="47">
        <v>221254.0</v>
      </c>
      <c r="D987" s="47" t="str">
        <f>VLOOKUP(C987,'Equalização'!E:J,6,0)</f>
        <v>#N/A</v>
      </c>
    </row>
    <row r="988" ht="15.75" customHeight="1">
      <c r="C988" s="47">
        <v>225823.0</v>
      </c>
      <c r="D988" s="47" t="str">
        <f>VLOOKUP(C988,'Equalização'!E:J,6,0)</f>
        <v>#N/A</v>
      </c>
    </row>
    <row r="989" ht="15.75" customHeight="1">
      <c r="C989" s="47">
        <v>226307.0</v>
      </c>
      <c r="D989" s="47" t="str">
        <f>VLOOKUP(C989,'Equalização'!E:J,6,0)</f>
        <v>#N/A</v>
      </c>
    </row>
    <row r="990" ht="15.75" customHeight="1">
      <c r="C990" s="47">
        <v>56502.0</v>
      </c>
      <c r="D990" s="47" t="str">
        <f>VLOOKUP(C990,'Equalização'!E:J,6,0)</f>
        <v>#N/A</v>
      </c>
    </row>
    <row r="991" ht="15.75" customHeight="1">
      <c r="C991" s="47">
        <v>241138.0</v>
      </c>
      <c r="D991" s="47" t="str">
        <f>VLOOKUP(C991,'Equalização'!E:J,6,0)</f>
        <v>#N/A</v>
      </c>
    </row>
    <row r="992" ht="15.75" customHeight="1">
      <c r="C992" s="47">
        <v>225961.0</v>
      </c>
      <c r="D992" s="47" t="str">
        <f>VLOOKUP(C992,'Equalização'!E:J,6,0)</f>
        <v>#N/A</v>
      </c>
    </row>
    <row r="993" ht="15.75" customHeight="1">
      <c r="C993" s="47">
        <v>225962.0</v>
      </c>
      <c r="D993" s="47" t="str">
        <f>VLOOKUP(C993,'Equalização'!E:J,6,0)</f>
        <v>#N/A</v>
      </c>
    </row>
    <row r="994" ht="15.75" customHeight="1">
      <c r="C994" s="47">
        <v>213229.0</v>
      </c>
      <c r="D994" s="47" t="str">
        <f>VLOOKUP(C994,'Equalização'!E:J,6,0)</f>
        <v>#N/A</v>
      </c>
    </row>
    <row r="995" ht="15.75" customHeight="1">
      <c r="C995" s="47">
        <v>212026.0</v>
      </c>
      <c r="D995" s="47" t="str">
        <f>VLOOKUP(C995,'Equalização'!E:J,6,0)</f>
        <v>#N/A</v>
      </c>
    </row>
    <row r="996" ht="15.75" customHeight="1">
      <c r="C996" s="47">
        <v>153619.0</v>
      </c>
      <c r="D996" s="47" t="str">
        <f>VLOOKUP(C996,'Equalização'!E:J,6,0)</f>
        <v>#N/A</v>
      </c>
    </row>
    <row r="997" ht="15.75" customHeight="1">
      <c r="C997" s="47">
        <v>207134.0</v>
      </c>
      <c r="D997" s="47" t="str">
        <f>VLOOKUP(C997,'Equalização'!E:J,6,0)</f>
        <v>#N/A</v>
      </c>
    </row>
    <row r="998" ht="15.75" customHeight="1">
      <c r="C998" s="47">
        <v>200865.0</v>
      </c>
      <c r="D998" s="47" t="str">
        <f>VLOOKUP(C998,'Equalização'!E:J,6,0)</f>
        <v>#N/A</v>
      </c>
    </row>
    <row r="999" ht="15.75" customHeight="1">
      <c r="C999" s="47">
        <v>172728.0</v>
      </c>
      <c r="D999" s="47" t="str">
        <f>VLOOKUP(C999,'Equalização'!E:J,6,0)</f>
        <v>#N/A</v>
      </c>
    </row>
    <row r="1000" ht="15.75" customHeight="1">
      <c r="C1000" s="47">
        <v>225896.0</v>
      </c>
      <c r="D1000" s="47" t="str">
        <f>VLOOKUP(C1000,'Equalização'!E:J,6,0)</f>
        <v>#N/A</v>
      </c>
    </row>
    <row r="1001" ht="15.75" customHeight="1">
      <c r="C1001" s="47">
        <v>225703.0</v>
      </c>
      <c r="D1001" s="47" t="str">
        <f>VLOOKUP(C1001,'Equalização'!E:J,6,0)</f>
        <v>#N/A</v>
      </c>
    </row>
    <row r="1002" ht="15.75" customHeight="1">
      <c r="C1002" s="47">
        <v>207854.0</v>
      </c>
      <c r="D1002" s="47" t="str">
        <f>VLOOKUP(C1002,'Equalização'!E:J,6,0)</f>
        <v>#N/A</v>
      </c>
    </row>
    <row r="1003" ht="15.75" customHeight="1">
      <c r="C1003" s="47">
        <v>207169.0</v>
      </c>
      <c r="D1003" s="47" t="str">
        <f>VLOOKUP(C1003,'Equalização'!E:J,6,0)</f>
        <v>#N/A</v>
      </c>
    </row>
    <row r="1004" ht="15.75" customHeight="1">
      <c r="C1004" s="47">
        <v>225999.0</v>
      </c>
      <c r="D1004" s="47" t="str">
        <f>VLOOKUP(C1004,'Equalização'!E:J,6,0)</f>
        <v>#N/A</v>
      </c>
    </row>
    <row r="1005" ht="15.75" customHeight="1">
      <c r="C1005" s="47">
        <v>226042.0</v>
      </c>
      <c r="D1005" s="47" t="str">
        <f>VLOOKUP(C1005,'Equalização'!E:J,6,0)</f>
        <v>#N/A</v>
      </c>
    </row>
    <row r="1006" ht="15.75" customHeight="1">
      <c r="C1006" s="47">
        <v>226043.0</v>
      </c>
      <c r="D1006" s="47" t="str">
        <f>VLOOKUP(C1006,'Equalização'!E:J,6,0)</f>
        <v>#N/A</v>
      </c>
    </row>
    <row r="1007" ht="15.75" customHeight="1">
      <c r="C1007" s="47">
        <v>133723.0</v>
      </c>
      <c r="D1007" s="47" t="str">
        <f>VLOOKUP(C1007,'Equalização'!E:J,6,0)</f>
        <v>#N/A</v>
      </c>
    </row>
    <row r="1008" ht="15.75" customHeight="1">
      <c r="C1008" s="47">
        <v>142170.0</v>
      </c>
      <c r="D1008" s="47" t="str">
        <f>VLOOKUP(C1008,'Equalização'!E:J,6,0)</f>
        <v>#N/A</v>
      </c>
    </row>
    <row r="1009" ht="15.75" customHeight="1">
      <c r="C1009" s="47">
        <v>151279.0</v>
      </c>
      <c r="D1009" s="47" t="str">
        <f>VLOOKUP(C1009,'Equalização'!E:J,6,0)</f>
        <v>#N/A</v>
      </c>
    </row>
    <row r="1010" ht="15.75" customHeight="1">
      <c r="C1010" s="47">
        <v>213073.0</v>
      </c>
      <c r="D1010" s="47" t="str">
        <f>VLOOKUP(C1010,'Equalização'!E:J,6,0)</f>
        <v>#N/A</v>
      </c>
    </row>
    <row r="1011" ht="15.75" customHeight="1">
      <c r="C1011" s="47">
        <v>211659.0</v>
      </c>
      <c r="D1011" s="47" t="str">
        <f>VLOOKUP(C1011,'Equalização'!E:J,6,0)</f>
        <v>#N/A</v>
      </c>
    </row>
    <row r="1012" ht="15.75" customHeight="1">
      <c r="C1012" s="47">
        <v>207800.0</v>
      </c>
      <c r="D1012" s="47" t="str">
        <f>VLOOKUP(C1012,'Equalização'!E:J,6,0)</f>
        <v>#N/A</v>
      </c>
    </row>
    <row r="1013" ht="15.75" customHeight="1">
      <c r="C1013" s="47">
        <v>204708.0</v>
      </c>
      <c r="D1013" s="47" t="str">
        <f>VLOOKUP(C1013,'Equalização'!E:J,6,0)</f>
        <v>#N/A</v>
      </c>
    </row>
    <row r="1014" ht="15.75" customHeight="1">
      <c r="C1014" s="47">
        <v>239178.0</v>
      </c>
      <c r="D1014" s="47" t="str">
        <f>VLOOKUP(C1014,'Equalização'!E:J,6,0)</f>
        <v>#N/A</v>
      </c>
    </row>
    <row r="1015" ht="15.75" customHeight="1">
      <c r="C1015" s="47">
        <v>219898.0</v>
      </c>
      <c r="D1015" s="47" t="str">
        <f>VLOOKUP(C1015,'Equalização'!E:J,6,0)</f>
        <v>#N/A</v>
      </c>
    </row>
    <row r="1016" ht="15.75" customHeight="1">
      <c r="C1016" s="47">
        <v>197045.0</v>
      </c>
      <c r="D1016" s="47" t="str">
        <f>VLOOKUP(C1016,'Equalização'!E:J,6,0)</f>
        <v>#N/A</v>
      </c>
    </row>
    <row r="1017" ht="15.75" customHeight="1">
      <c r="C1017" s="47">
        <v>152986.0</v>
      </c>
      <c r="D1017" s="47" t="str">
        <f>VLOOKUP(C1017,'Equalização'!E:J,6,0)</f>
        <v>#N/A</v>
      </c>
    </row>
    <row r="1018" ht="15.75" customHeight="1">
      <c r="C1018" s="47">
        <v>207167.0</v>
      </c>
      <c r="D1018" s="47" t="str">
        <f>VLOOKUP(C1018,'Equalização'!E:J,6,0)</f>
        <v>#N/A</v>
      </c>
    </row>
    <row r="1019" ht="15.75" customHeight="1">
      <c r="C1019" s="47">
        <v>217080.0</v>
      </c>
      <c r="D1019" s="47" t="str">
        <f>VLOOKUP(C1019,'Equalização'!E:J,6,0)</f>
        <v>#N/A</v>
      </c>
    </row>
    <row r="1020" ht="15.75" customHeight="1">
      <c r="C1020" s="47">
        <v>225912.0</v>
      </c>
      <c r="D1020" s="47" t="str">
        <f>VLOOKUP(C1020,'Equalização'!E:J,6,0)</f>
        <v>#N/A</v>
      </c>
    </row>
    <row r="1021" ht="15.75" customHeight="1">
      <c r="C1021" s="47">
        <v>207937.0</v>
      </c>
      <c r="D1021" s="47" t="str">
        <f>VLOOKUP(C1021,'Equalização'!E:J,6,0)</f>
        <v>#N/A</v>
      </c>
    </row>
    <row r="1022" ht="15.75" customHeight="1">
      <c r="C1022" s="47">
        <v>239129.0</v>
      </c>
      <c r="D1022" s="47" t="str">
        <f>VLOOKUP(C1022,'Equalização'!E:J,6,0)</f>
        <v>#N/A</v>
      </c>
    </row>
    <row r="1023" ht="15.75" customHeight="1">
      <c r="C1023" s="47">
        <v>236267.0</v>
      </c>
      <c r="D1023" s="47" t="str">
        <f>VLOOKUP(C1023,'Equalização'!E:J,6,0)</f>
        <v>#N/A</v>
      </c>
    </row>
    <row r="1024" ht="15.75" customHeight="1">
      <c r="C1024" s="47">
        <v>214047.0</v>
      </c>
      <c r="D1024" s="47" t="str">
        <f>VLOOKUP(C1024,'Equalização'!E:J,6,0)</f>
        <v>#N/A</v>
      </c>
    </row>
    <row r="1025" ht="15.75" customHeight="1">
      <c r="C1025" s="47">
        <v>220174.0</v>
      </c>
      <c r="D1025" s="47" t="str">
        <f>VLOOKUP(C1025,'Equalização'!E:J,6,0)</f>
        <v>#N/A</v>
      </c>
    </row>
    <row r="1026" ht="15.75" customHeight="1">
      <c r="C1026" s="47">
        <v>210683.0</v>
      </c>
      <c r="D1026" s="47" t="str">
        <f>VLOOKUP(C1026,'Equalização'!E:J,6,0)</f>
        <v>#N/A</v>
      </c>
    </row>
    <row r="1027" ht="15.75" customHeight="1">
      <c r="C1027" s="47">
        <v>226191.0</v>
      </c>
      <c r="D1027" s="47" t="str">
        <f>VLOOKUP(C1027,'Equalização'!E:J,6,0)</f>
        <v>#N/A</v>
      </c>
    </row>
    <row r="1028" ht="15.75" customHeight="1">
      <c r="C1028" s="47">
        <v>221421.0</v>
      </c>
      <c r="D1028" s="47" t="str">
        <f>VLOOKUP(C1028,'Equalização'!E:J,6,0)</f>
        <v>#N/A</v>
      </c>
    </row>
    <row r="1029" ht="15.75" customHeight="1">
      <c r="C1029" s="47">
        <v>221424.0</v>
      </c>
      <c r="D1029" s="47" t="str">
        <f>VLOOKUP(C1029,'Equalização'!E:J,6,0)</f>
        <v>#N/A</v>
      </c>
    </row>
    <row r="1030" ht="15.75" customHeight="1">
      <c r="C1030" s="47">
        <v>219667.0</v>
      </c>
      <c r="D1030" s="47" t="str">
        <f>VLOOKUP(C1030,'Equalização'!E:J,6,0)</f>
        <v>#N/A</v>
      </c>
    </row>
    <row r="1031" ht="15.75" customHeight="1">
      <c r="C1031" s="47">
        <v>226184.0</v>
      </c>
      <c r="D1031" s="47" t="str">
        <f>VLOOKUP(C1031,'Equalização'!E:J,6,0)</f>
        <v>#N/A</v>
      </c>
    </row>
    <row r="1032" ht="15.75" customHeight="1">
      <c r="C1032" s="47">
        <v>225702.0</v>
      </c>
      <c r="D1032" s="47" t="str">
        <f>VLOOKUP(C1032,'Equalização'!E:J,6,0)</f>
        <v>#N/A</v>
      </c>
    </row>
    <row r="1033" ht="15.75" customHeight="1">
      <c r="C1033" s="47">
        <v>57843.0</v>
      </c>
      <c r="D1033" s="47" t="str">
        <f>VLOOKUP(C1033,'Equalização'!E:J,6,0)</f>
        <v>#N/A</v>
      </c>
    </row>
    <row r="1034" ht="15.75" customHeight="1">
      <c r="C1034" s="47">
        <v>210426.0</v>
      </c>
      <c r="D1034" s="47" t="str">
        <f>VLOOKUP(C1034,'Equalização'!E:J,6,0)</f>
        <v>#N/A</v>
      </c>
    </row>
    <row r="1035" ht="15.75" customHeight="1">
      <c r="C1035" s="47">
        <v>207182.0</v>
      </c>
      <c r="D1035" s="47" t="str">
        <f>VLOOKUP(C1035,'Equalização'!E:J,6,0)</f>
        <v>#N/A</v>
      </c>
    </row>
    <row r="1036" ht="15.75" customHeight="1">
      <c r="C1036" s="47">
        <v>225877.0</v>
      </c>
      <c r="D1036" s="47" t="str">
        <f>VLOOKUP(C1036,'Equalização'!E:J,6,0)</f>
        <v>#N/A</v>
      </c>
    </row>
    <row r="1037" ht="15.75" customHeight="1">
      <c r="C1037" s="47">
        <v>210574.0</v>
      </c>
      <c r="D1037" s="47" t="str">
        <f>VLOOKUP(C1037,'Equalização'!E:J,6,0)</f>
        <v>#N/A</v>
      </c>
    </row>
    <row r="1038" ht="15.75" customHeight="1">
      <c r="C1038" s="47">
        <v>221100.0</v>
      </c>
      <c r="D1038" s="47" t="str">
        <f>VLOOKUP(C1038,'Equalização'!E:J,6,0)</f>
        <v>#N/A</v>
      </c>
    </row>
    <row r="1039" ht="15.75" customHeight="1">
      <c r="C1039" s="47">
        <v>213089.0</v>
      </c>
      <c r="D1039" s="47" t="str">
        <f>VLOOKUP(C1039,'Equalização'!E:J,6,0)</f>
        <v>#N/A</v>
      </c>
    </row>
    <row r="1040" ht="15.75" customHeight="1">
      <c r="C1040" s="47">
        <v>226221.0</v>
      </c>
      <c r="D1040" s="47" t="str">
        <f>VLOOKUP(C1040,'Equalização'!E:J,6,0)</f>
        <v>#N/A</v>
      </c>
    </row>
    <row r="1041" ht="15.75" customHeight="1">
      <c r="C1041" s="47">
        <v>225784.0</v>
      </c>
      <c r="D1041" s="47" t="str">
        <f>VLOOKUP(C1041,'Equalização'!E:J,6,0)</f>
        <v>#N/A</v>
      </c>
    </row>
    <row r="1042" ht="15.75" customHeight="1">
      <c r="C1042" s="47">
        <v>220006.0</v>
      </c>
      <c r="D1042" s="47" t="str">
        <f>VLOOKUP(C1042,'Equalização'!E:J,6,0)</f>
        <v>#N/A</v>
      </c>
    </row>
    <row r="1043" ht="15.75" customHeight="1">
      <c r="C1043" s="47">
        <v>208722.0</v>
      </c>
      <c r="D1043" s="47" t="str">
        <f>VLOOKUP(C1043,'Equalização'!E:J,6,0)</f>
        <v>#N/A</v>
      </c>
    </row>
    <row r="1044" ht="15.75" customHeight="1">
      <c r="C1044" s="47">
        <v>214042.0</v>
      </c>
      <c r="D1044" s="47" t="str">
        <f>VLOOKUP(C1044,'Equalização'!E:J,6,0)</f>
        <v>#N/A</v>
      </c>
    </row>
    <row r="1045" ht="15.75" customHeight="1">
      <c r="C1045" s="47">
        <v>214122.0</v>
      </c>
      <c r="D1045" s="47" t="str">
        <f>VLOOKUP(C1045,'Equalização'!E:J,6,0)</f>
        <v>#N/A</v>
      </c>
    </row>
    <row r="1046" ht="15.75" customHeight="1">
      <c r="C1046" s="47">
        <v>237758.0</v>
      </c>
      <c r="D1046" s="47" t="str">
        <f>VLOOKUP(C1046,'Equalização'!E:J,6,0)</f>
        <v>#N/A</v>
      </c>
    </row>
    <row r="1047" ht="15.75" customHeight="1">
      <c r="C1047" s="47">
        <v>239447.0</v>
      </c>
      <c r="D1047" s="47" t="str">
        <f>VLOOKUP(C1047,'Equalização'!E:J,6,0)</f>
        <v>#N/A</v>
      </c>
    </row>
    <row r="1048" ht="15.75" customHeight="1">
      <c r="C1048" s="47">
        <v>225934.0</v>
      </c>
      <c r="D1048" s="47" t="str">
        <f>VLOOKUP(C1048,'Equalização'!E:J,6,0)</f>
        <v>#N/A</v>
      </c>
    </row>
    <row r="1049" ht="15.75" customHeight="1">
      <c r="C1049" s="47">
        <v>207747.0</v>
      </c>
      <c r="D1049" s="47" t="str">
        <f>VLOOKUP(C1049,'Equalização'!E:J,6,0)</f>
        <v>#N/A</v>
      </c>
    </row>
    <row r="1050" ht="15.75" customHeight="1">
      <c r="C1050" s="47">
        <v>240602.0</v>
      </c>
      <c r="D1050" s="47" t="str">
        <f>VLOOKUP(C1050,'Equalização'!E:J,6,0)</f>
        <v>#N/A</v>
      </c>
    </row>
    <row r="1051" ht="15.75" customHeight="1">
      <c r="C1051" s="47">
        <v>212996.0</v>
      </c>
      <c r="D1051" s="47" t="str">
        <f>VLOOKUP(C1051,'Equalização'!E:J,6,0)</f>
        <v>#N/A</v>
      </c>
    </row>
    <row r="1052" ht="15.75" customHeight="1">
      <c r="C1052" s="47">
        <v>169254.0</v>
      </c>
      <c r="D1052" s="47" t="str">
        <f>VLOOKUP(C1052,'Equalização'!E:J,6,0)</f>
        <v>#N/A</v>
      </c>
    </row>
    <row r="1053" ht="15.75" customHeight="1">
      <c r="C1053" s="47">
        <v>225863.0</v>
      </c>
      <c r="D1053" s="47" t="str">
        <f>VLOOKUP(C1053,'Equalização'!E:J,6,0)</f>
        <v>#N/A</v>
      </c>
    </row>
    <row r="1054" ht="15.75" customHeight="1">
      <c r="C1054" s="47">
        <v>207792.0</v>
      </c>
      <c r="D1054" s="47" t="str">
        <f>VLOOKUP(C1054,'Equalização'!E:J,6,0)</f>
        <v>#N/A</v>
      </c>
    </row>
    <row r="1055" ht="15.75" customHeight="1">
      <c r="C1055" s="47">
        <v>224834.0</v>
      </c>
      <c r="D1055" s="47" t="str">
        <f>VLOOKUP(C1055,'Equalização'!E:J,6,0)</f>
        <v>#N/A</v>
      </c>
    </row>
    <row r="1056" ht="15.75" customHeight="1">
      <c r="C1056" s="47">
        <v>226314.0</v>
      </c>
      <c r="D1056" s="47" t="str">
        <f>VLOOKUP(C1056,'Equalização'!E:J,6,0)</f>
        <v>#N/A</v>
      </c>
    </row>
    <row r="1057" ht="15.75" customHeight="1">
      <c r="C1057" s="47">
        <v>228039.0</v>
      </c>
      <c r="D1057" s="47" t="str">
        <f>VLOOKUP(C1057,'Equalização'!E:J,6,0)</f>
        <v>#N/A</v>
      </c>
    </row>
    <row r="1058" ht="15.75" customHeight="1">
      <c r="C1058" s="47">
        <v>238428.0</v>
      </c>
      <c r="D1058" s="47" t="str">
        <f>VLOOKUP(C1058,'Equalização'!E:J,6,0)</f>
        <v>#N/A</v>
      </c>
    </row>
    <row r="1059" ht="15.75" customHeight="1">
      <c r="C1059" s="47">
        <v>238429.0</v>
      </c>
      <c r="D1059" s="47" t="str">
        <f>VLOOKUP(C1059,'Equalização'!E:J,6,0)</f>
        <v>#N/A</v>
      </c>
    </row>
    <row r="1060" ht="15.75" customHeight="1">
      <c r="C1060" s="47">
        <v>213174.0</v>
      </c>
      <c r="D1060" s="47" t="str">
        <f>VLOOKUP(C1060,'Equalização'!E:J,6,0)</f>
        <v>#N/A</v>
      </c>
    </row>
    <row r="1061" ht="15.75" customHeight="1">
      <c r="C1061" s="47">
        <v>204764.0</v>
      </c>
      <c r="D1061" s="47" t="str">
        <f>VLOOKUP(C1061,'Equalização'!E:J,6,0)</f>
        <v>#N/A</v>
      </c>
    </row>
    <row r="1062" ht="15.75" customHeight="1">
      <c r="C1062" s="47">
        <v>152628.0</v>
      </c>
      <c r="D1062" s="47" t="str">
        <f>VLOOKUP(C1062,'Equalização'!E:J,6,0)</f>
        <v>#N/A</v>
      </c>
    </row>
    <row r="1063" ht="15.75" customHeight="1">
      <c r="C1063" s="47">
        <v>149612.0</v>
      </c>
      <c r="D1063" s="47" t="str">
        <f>VLOOKUP(C1063,'Equalização'!E:J,6,0)</f>
        <v>#N/A</v>
      </c>
    </row>
    <row r="1064" ht="15.75" customHeight="1">
      <c r="C1064" s="47">
        <v>214116.0</v>
      </c>
      <c r="D1064" s="47" t="str">
        <f>VLOOKUP(C1064,'Equalização'!E:J,6,0)</f>
        <v>#N/A</v>
      </c>
    </row>
    <row r="1065" ht="15.75" customHeight="1">
      <c r="C1065" s="47">
        <v>225525.0</v>
      </c>
      <c r="D1065" s="47" t="str">
        <f>VLOOKUP(C1065,'Equalização'!E:J,6,0)</f>
        <v>#N/A</v>
      </c>
    </row>
    <row r="1066" ht="15.75" customHeight="1">
      <c r="C1066" s="47">
        <v>213130.0</v>
      </c>
      <c r="D1066" s="47" t="str">
        <f>VLOOKUP(C1066,'Equalização'!E:J,6,0)</f>
        <v>#N/A</v>
      </c>
    </row>
    <row r="1067" ht="15.75" customHeight="1">
      <c r="C1067" s="47">
        <v>213254.0</v>
      </c>
      <c r="D1067" s="47" t="str">
        <f>VLOOKUP(C1067,'Equalização'!E:J,6,0)</f>
        <v>#N/A</v>
      </c>
    </row>
    <row r="1068" ht="15.75" customHeight="1">
      <c r="C1068" s="47">
        <v>217988.0</v>
      </c>
      <c r="D1068" s="47" t="str">
        <f>VLOOKUP(C1068,'Equalização'!E:J,6,0)</f>
        <v>#N/A</v>
      </c>
    </row>
    <row r="1069" ht="15.75" customHeight="1">
      <c r="C1069" s="47">
        <v>213044.0</v>
      </c>
      <c r="D1069" s="47" t="str">
        <f>VLOOKUP(C1069,'Equalização'!E:J,6,0)</f>
        <v>#N/A</v>
      </c>
    </row>
    <row r="1070" ht="15.75" customHeight="1">
      <c r="C1070" s="47">
        <v>225866.0</v>
      </c>
      <c r="D1070" s="47" t="str">
        <f>VLOOKUP(C1070,'Equalização'!E:J,6,0)</f>
        <v>#N/A</v>
      </c>
    </row>
    <row r="1071" ht="15.75" customHeight="1">
      <c r="C1071" s="47">
        <v>206032.0</v>
      </c>
      <c r="D1071" s="47" t="str">
        <f>VLOOKUP(C1071,'Equalização'!E:J,6,0)</f>
        <v>#N/A</v>
      </c>
    </row>
    <row r="1072" ht="15.75" customHeight="1">
      <c r="C1072" s="47">
        <v>226217.0</v>
      </c>
      <c r="D1072" s="47" t="str">
        <f>VLOOKUP(C1072,'Equalização'!E:J,6,0)</f>
        <v>#N/A</v>
      </c>
    </row>
    <row r="1073" ht="15.75" customHeight="1">
      <c r="C1073" s="47">
        <v>211669.0</v>
      </c>
      <c r="D1073" s="47" t="str">
        <f>VLOOKUP(C1073,'Equalização'!E:J,6,0)</f>
        <v>#N/A</v>
      </c>
    </row>
    <row r="1074" ht="15.75" customHeight="1">
      <c r="C1074" s="47">
        <v>222626.0</v>
      </c>
      <c r="D1074" s="47" t="str">
        <f>VLOOKUP(C1074,'Equalização'!E:J,6,0)</f>
        <v>#N/A</v>
      </c>
    </row>
    <row r="1075" ht="15.75" customHeight="1">
      <c r="C1075" s="47">
        <v>227730.0</v>
      </c>
      <c r="D1075" s="47" t="str">
        <f>VLOOKUP(C1075,'Equalização'!E:J,6,0)</f>
        <v>#N/A</v>
      </c>
    </row>
    <row r="1076" ht="15.75" customHeight="1">
      <c r="C1076" s="47">
        <v>131205.0</v>
      </c>
      <c r="D1076" s="47" t="str">
        <f>VLOOKUP(C1076,'Equalização'!E:J,6,0)</f>
        <v>#N/A</v>
      </c>
    </row>
    <row r="1077" ht="15.75" customHeight="1">
      <c r="C1077" s="47">
        <v>228040.0</v>
      </c>
      <c r="D1077" s="47" t="str">
        <f>VLOOKUP(C1077,'Equalização'!E:J,6,0)</f>
        <v>#N/A</v>
      </c>
    </row>
    <row r="1078" ht="15.75" customHeight="1">
      <c r="C1078" s="47">
        <v>225805.0</v>
      </c>
      <c r="D1078" s="47" t="str">
        <f>VLOOKUP(C1078,'Equalização'!E:J,6,0)</f>
        <v>#N/A</v>
      </c>
    </row>
    <row r="1079" ht="15.75" customHeight="1">
      <c r="C1079" s="47">
        <v>206089.0</v>
      </c>
      <c r="D1079" s="47" t="str">
        <f>VLOOKUP(C1079,'Equalização'!E:J,6,0)</f>
        <v>#N/A</v>
      </c>
    </row>
    <row r="1080" ht="15.75" customHeight="1">
      <c r="C1080" s="47">
        <v>225788.0</v>
      </c>
      <c r="D1080" s="47" t="str">
        <f>VLOOKUP(C1080,'Equalização'!E:J,6,0)</f>
        <v>#N/A</v>
      </c>
    </row>
    <row r="1081" ht="15.75" customHeight="1">
      <c r="C1081" s="47">
        <v>213513.0</v>
      </c>
      <c r="D1081" s="47" t="str">
        <f>VLOOKUP(C1081,'Equalização'!E:J,6,0)</f>
        <v>#N/A</v>
      </c>
    </row>
    <row r="1082" ht="15.75" customHeight="1">
      <c r="C1082" s="47">
        <v>226225.0</v>
      </c>
      <c r="D1082" s="47" t="str">
        <f>VLOOKUP(C1082,'Equalização'!E:J,6,0)</f>
        <v>#N/A</v>
      </c>
    </row>
    <row r="1083" ht="15.75" customHeight="1">
      <c r="C1083" s="47">
        <v>207159.0</v>
      </c>
      <c r="D1083" s="47" t="str">
        <f>VLOOKUP(C1083,'Equalização'!E:J,6,0)</f>
        <v>#N/A</v>
      </c>
    </row>
    <row r="1084" ht="15.75" customHeight="1">
      <c r="C1084" s="47">
        <v>212004.0</v>
      </c>
      <c r="D1084" s="47" t="str">
        <f>VLOOKUP(C1084,'Equalização'!E:J,6,0)</f>
        <v>#N/A</v>
      </c>
    </row>
    <row r="1085" ht="15.75" customHeight="1">
      <c r="C1085" s="47">
        <v>202596.0</v>
      </c>
      <c r="D1085" s="47" t="str">
        <f>VLOOKUP(C1085,'Equalização'!E:J,6,0)</f>
        <v>#N/A</v>
      </c>
    </row>
    <row r="1086" ht="15.75" customHeight="1">
      <c r="C1086" s="47">
        <v>136746.0</v>
      </c>
      <c r="D1086" s="47" t="str">
        <f>VLOOKUP(C1086,'Equalização'!E:J,6,0)</f>
        <v>#N/A</v>
      </c>
    </row>
    <row r="1087" ht="15.75" customHeight="1">
      <c r="C1087" s="47">
        <v>213048.0</v>
      </c>
      <c r="D1087" s="47" t="str">
        <f>VLOOKUP(C1087,'Equalização'!E:J,6,0)</f>
        <v>#N/A</v>
      </c>
    </row>
    <row r="1088" ht="15.75" customHeight="1">
      <c r="C1088" s="47">
        <v>55999.0</v>
      </c>
      <c r="D1088" s="47" t="str">
        <f>VLOOKUP(C1088,'Equalização'!E:J,6,0)</f>
        <v>#N/A</v>
      </c>
    </row>
    <row r="1089" ht="15.75" customHeight="1">
      <c r="C1089" s="47">
        <v>226000.0</v>
      </c>
      <c r="D1089" s="47" t="str">
        <f>VLOOKUP(C1089,'Equalização'!E:J,6,0)</f>
        <v>#N/A</v>
      </c>
    </row>
    <row r="1090" ht="15.75" customHeight="1">
      <c r="C1090" s="47">
        <v>214046.0</v>
      </c>
      <c r="D1090" s="47" t="str">
        <f>VLOOKUP(C1090,'Equalização'!E:J,6,0)</f>
        <v>#N/A</v>
      </c>
    </row>
    <row r="1091" ht="15.75" customHeight="1">
      <c r="C1091" s="47">
        <v>223346.0</v>
      </c>
      <c r="D1091" s="47" t="str">
        <f>VLOOKUP(C1091,'Equalização'!E:J,6,0)</f>
        <v>#N/A</v>
      </c>
    </row>
    <row r="1092" ht="15.75" customHeight="1">
      <c r="C1092" s="47">
        <v>83569.0</v>
      </c>
      <c r="D1092" s="47" t="str">
        <f>VLOOKUP(C1092,'Equalização'!E:J,6,0)</f>
        <v>#N/A</v>
      </c>
    </row>
    <row r="1093" ht="15.75" customHeight="1">
      <c r="C1093" s="47">
        <v>225689.0</v>
      </c>
      <c r="D1093" s="47" t="str">
        <f>VLOOKUP(C1093,'Equalização'!E:J,6,0)</f>
        <v>#N/A</v>
      </c>
    </row>
    <row r="1094" ht="15.75" customHeight="1">
      <c r="C1094" s="47">
        <v>213225.0</v>
      </c>
      <c r="D1094" s="47" t="str">
        <f>VLOOKUP(C1094,'Equalização'!E:J,6,0)</f>
        <v>#N/A</v>
      </c>
    </row>
    <row r="1095" ht="15.75" customHeight="1">
      <c r="C1095" s="47">
        <v>211172.0</v>
      </c>
      <c r="D1095" s="47" t="str">
        <f>VLOOKUP(C1095,'Equalização'!E:J,6,0)</f>
        <v>#N/A</v>
      </c>
    </row>
    <row r="1096" ht="15.75" customHeight="1">
      <c r="C1096" s="47">
        <v>221423.0</v>
      </c>
      <c r="D1096" s="47" t="str">
        <f>VLOOKUP(C1096,'Equalização'!E:J,6,0)</f>
        <v>#N/A</v>
      </c>
    </row>
    <row r="1097" ht="15.75" customHeight="1">
      <c r="C1097" s="47">
        <v>221439.0</v>
      </c>
      <c r="D1097" s="47" t="str">
        <f>VLOOKUP(C1097,'Equalização'!E:J,6,0)</f>
        <v>#N/A</v>
      </c>
    </row>
    <row r="1098" ht="15.75" customHeight="1">
      <c r="C1098" s="47">
        <v>222364.0</v>
      </c>
      <c r="D1098" s="47" t="str">
        <f>VLOOKUP(C1098,'Equalização'!E:J,6,0)</f>
        <v>#N/A</v>
      </c>
    </row>
    <row r="1099" ht="15.75" customHeight="1">
      <c r="C1099" s="47">
        <v>209602.0</v>
      </c>
      <c r="D1099" s="47" t="str">
        <f>VLOOKUP(C1099,'Equalização'!E:J,6,0)</f>
        <v>#N/A</v>
      </c>
    </row>
    <row r="1100" ht="15.75" customHeight="1">
      <c r="C1100" s="47">
        <v>207748.0</v>
      </c>
      <c r="D1100" s="47" t="str">
        <f>VLOOKUP(C1100,'Equalização'!E:J,6,0)</f>
        <v>#N/A</v>
      </c>
    </row>
    <row r="1101" ht="15.75" customHeight="1">
      <c r="C1101" s="47">
        <v>211674.0</v>
      </c>
      <c r="D1101" s="47" t="str">
        <f>VLOOKUP(C1101,'Equalização'!E:J,6,0)</f>
        <v>#N/A</v>
      </c>
    </row>
    <row r="1102" ht="15.75" customHeight="1">
      <c r="C1102" s="47">
        <v>226223.0</v>
      </c>
      <c r="D1102" s="47" t="str">
        <f>VLOOKUP(C1102,'Equalização'!E:J,6,0)</f>
        <v>#N/A</v>
      </c>
    </row>
    <row r="1103" ht="15.75" customHeight="1">
      <c r="C1103" s="47">
        <v>218514.0</v>
      </c>
      <c r="D1103" s="47" t="str">
        <f>VLOOKUP(C1103,'Equalização'!E:J,6,0)</f>
        <v>#N/A</v>
      </c>
    </row>
    <row r="1104" ht="15.75" customHeight="1">
      <c r="C1104" s="47">
        <v>226193.0</v>
      </c>
      <c r="D1104" s="47" t="str">
        <f>VLOOKUP(C1104,'Equalização'!E:J,6,0)</f>
        <v>#N/A</v>
      </c>
    </row>
    <row r="1105" ht="15.75" customHeight="1">
      <c r="C1105" s="47">
        <v>212988.0</v>
      </c>
      <c r="D1105" s="47" t="str">
        <f>VLOOKUP(C1105,'Equalização'!E:J,6,0)</f>
        <v>#N/A</v>
      </c>
    </row>
    <row r="1106" ht="15.75" customHeight="1">
      <c r="C1106" s="47">
        <v>225576.0</v>
      </c>
      <c r="D1106" s="47" t="str">
        <f>VLOOKUP(C1106,'Equalização'!E:J,6,0)</f>
        <v>#N/A</v>
      </c>
    </row>
    <row r="1107" ht="15.75" customHeight="1">
      <c r="C1107" s="47">
        <v>213515.0</v>
      </c>
      <c r="D1107" s="47" t="str">
        <f>VLOOKUP(C1107,'Equalização'!E:J,6,0)</f>
        <v>#N/A</v>
      </c>
    </row>
    <row r="1108" ht="15.75" customHeight="1">
      <c r="C1108" s="47">
        <v>224823.0</v>
      </c>
      <c r="D1108" s="47" t="str">
        <f>VLOOKUP(C1108,'Equalização'!E:J,6,0)</f>
        <v>#N/A</v>
      </c>
    </row>
    <row r="1109" ht="15.75" customHeight="1">
      <c r="C1109" s="47">
        <v>240224.0</v>
      </c>
      <c r="D1109" s="47" t="str">
        <f>VLOOKUP(C1109,'Equalização'!E:J,6,0)</f>
        <v>#N/A</v>
      </c>
    </row>
    <row r="1110" ht="15.75" customHeight="1">
      <c r="C1110" s="47">
        <v>240227.0</v>
      </c>
      <c r="D1110" s="47" t="str">
        <f>VLOOKUP(C1110,'Equalização'!E:J,6,0)</f>
        <v>#N/A</v>
      </c>
    </row>
    <row r="1111" ht="15.75" customHeight="1">
      <c r="C1111" s="47">
        <v>226231.0</v>
      </c>
      <c r="D1111" s="47" t="str">
        <f>VLOOKUP(C1111,'Equalização'!E:J,6,0)</f>
        <v>#N/A</v>
      </c>
    </row>
    <row r="1112" ht="15.75" customHeight="1">
      <c r="C1112" s="47">
        <v>236237.0</v>
      </c>
      <c r="D1112" s="47" t="str">
        <f>VLOOKUP(C1112,'Equalização'!E:J,6,0)</f>
        <v>#N/A</v>
      </c>
    </row>
    <row r="1113" ht="15.75" customHeight="1">
      <c r="C1113" s="47">
        <v>214066.0</v>
      </c>
      <c r="D1113" s="47" t="str">
        <f>VLOOKUP(C1113,'Equalização'!E:J,6,0)</f>
        <v>#N/A</v>
      </c>
    </row>
    <row r="1114" ht="15.75" customHeight="1">
      <c r="C1114" s="47">
        <v>207957.0</v>
      </c>
      <c r="D1114" s="47" t="str">
        <f>VLOOKUP(C1114,'Equalização'!E:J,6,0)</f>
        <v>#N/A</v>
      </c>
    </row>
    <row r="1115" ht="15.75" customHeight="1">
      <c r="C1115" s="47">
        <v>240241.0</v>
      </c>
      <c r="D1115" s="47" t="str">
        <f>VLOOKUP(C1115,'Equalização'!E:J,6,0)</f>
        <v>#N/A</v>
      </c>
    </row>
    <row r="1116" ht="15.75" customHeight="1">
      <c r="C1116" s="47">
        <v>211214.0</v>
      </c>
      <c r="D1116" s="47" t="str">
        <f>VLOOKUP(C1116,'Equalização'!E:J,6,0)</f>
        <v>#N/A</v>
      </c>
    </row>
    <row r="1117" ht="15.75" customHeight="1">
      <c r="C1117" s="47">
        <v>207187.0</v>
      </c>
      <c r="D1117" s="47" t="str">
        <f>VLOOKUP(C1117,'Equalização'!E:J,6,0)</f>
        <v>#N/A</v>
      </c>
    </row>
    <row r="1118" ht="15.75" customHeight="1">
      <c r="C1118" s="47">
        <v>225966.0</v>
      </c>
      <c r="D1118" s="47" t="str">
        <f>VLOOKUP(C1118,'Equalização'!E:J,6,0)</f>
        <v>#N/A</v>
      </c>
    </row>
    <row r="1119" ht="15.75" customHeight="1">
      <c r="C1119" s="47">
        <v>184086.0</v>
      </c>
      <c r="D1119" s="47" t="str">
        <f>VLOOKUP(C1119,'Equalização'!E:J,6,0)</f>
        <v>#N/A</v>
      </c>
    </row>
    <row r="1120" ht="15.75" customHeight="1">
      <c r="C1120" s="47">
        <v>151307.0</v>
      </c>
      <c r="D1120" s="47" t="str">
        <f>VLOOKUP(C1120,'Equalização'!E:J,6,0)</f>
        <v>#N/A</v>
      </c>
    </row>
    <row r="1121" ht="15.75" customHeight="1">
      <c r="C1121" s="47">
        <v>225612.0</v>
      </c>
      <c r="D1121" s="47" t="str">
        <f>VLOOKUP(C1121,'Equalização'!E:J,6,0)</f>
        <v>#N/A</v>
      </c>
    </row>
    <row r="1122" ht="15.75" customHeight="1">
      <c r="C1122" s="47">
        <v>56588.0</v>
      </c>
      <c r="D1122" s="47" t="str">
        <f>VLOOKUP(C1122,'Equalização'!E:J,6,0)</f>
        <v>#N/A</v>
      </c>
    </row>
    <row r="1123" ht="15.75" customHeight="1">
      <c r="C1123" s="47">
        <v>226687.0</v>
      </c>
      <c r="D1123" s="47" t="str">
        <f>VLOOKUP(C1123,'Equalização'!E:J,6,0)</f>
        <v>#N/A</v>
      </c>
    </row>
    <row r="1124" ht="15.75" customHeight="1">
      <c r="C1124" s="47">
        <v>213517.0</v>
      </c>
      <c r="D1124" s="47" t="str">
        <f>VLOOKUP(C1124,'Equalização'!E:J,6,0)</f>
        <v>#N/A</v>
      </c>
    </row>
    <row r="1125" ht="15.75" customHeight="1">
      <c r="C1125" s="47">
        <v>240226.0</v>
      </c>
      <c r="D1125" s="47" t="str">
        <f>VLOOKUP(C1125,'Equalização'!E:J,6,0)</f>
        <v>#N/A</v>
      </c>
    </row>
    <row r="1126" ht="15.75" customHeight="1">
      <c r="C1126" s="47">
        <v>211651.0</v>
      </c>
      <c r="D1126" s="47" t="str">
        <f>VLOOKUP(C1126,'Equalização'!E:J,6,0)</f>
        <v>#N/A</v>
      </c>
    </row>
    <row r="1127" ht="15.75" customHeight="1">
      <c r="C1127" s="47">
        <v>160467.0</v>
      </c>
      <c r="D1127" s="47" t="str">
        <f>VLOOKUP(C1127,'Equalização'!E:J,6,0)</f>
        <v>#N/A</v>
      </c>
    </row>
    <row r="1128" ht="15.75" customHeight="1">
      <c r="C1128" s="47">
        <v>212549.0</v>
      </c>
      <c r="D1128" s="47" t="str">
        <f>VLOOKUP(C1128,'Equalização'!E:J,6,0)</f>
        <v>#N/A</v>
      </c>
    </row>
    <row r="1129" ht="15.75" customHeight="1">
      <c r="C1129" s="47">
        <v>222365.0</v>
      </c>
      <c r="D1129" s="47" t="str">
        <f>VLOOKUP(C1129,'Equalização'!E:J,6,0)</f>
        <v>#N/A</v>
      </c>
    </row>
    <row r="1130" ht="15.75" customHeight="1">
      <c r="C1130" s="47">
        <v>225958.0</v>
      </c>
      <c r="D1130" s="47" t="str">
        <f>VLOOKUP(C1130,'Equalização'!E:J,6,0)</f>
        <v>#N/A</v>
      </c>
    </row>
    <row r="1131" ht="15.75" customHeight="1">
      <c r="C1131" s="47">
        <v>119362.0</v>
      </c>
      <c r="D1131" s="47" t="str">
        <f>VLOOKUP(C1131,'Equalização'!E:J,6,0)</f>
        <v>#N/A</v>
      </c>
    </row>
    <row r="1132" ht="15.75" customHeight="1">
      <c r="C1132" s="47">
        <v>97349.0</v>
      </c>
      <c r="D1132" s="47" t="str">
        <f>VLOOKUP(C1132,'Equalização'!E:J,6,0)</f>
        <v>#N/A</v>
      </c>
    </row>
    <row r="1133" ht="15.75" customHeight="1">
      <c r="C1133" s="47">
        <v>141130.0</v>
      </c>
      <c r="D1133" s="47" t="str">
        <f>VLOOKUP(C1133,'Equalização'!E:J,6,0)</f>
        <v>#N/A</v>
      </c>
    </row>
    <row r="1134" ht="15.75" customHeight="1">
      <c r="C1134" s="47">
        <v>237225.0</v>
      </c>
      <c r="D1134" s="47" t="str">
        <f>VLOOKUP(C1134,'Equalização'!E:J,6,0)</f>
        <v>#N/A</v>
      </c>
    </row>
    <row r="1135" ht="15.75" customHeight="1">
      <c r="C1135" s="47">
        <v>207399.0</v>
      </c>
      <c r="D1135" s="47" t="str">
        <f>VLOOKUP(C1135,'Equalização'!E:J,6,0)</f>
        <v>#N/A</v>
      </c>
    </row>
    <row r="1136" ht="15.75" customHeight="1">
      <c r="C1136" s="47">
        <v>223929.0</v>
      </c>
      <c r="D1136" s="47" t="str">
        <f>VLOOKUP(C1136,'Equalização'!E:J,6,0)</f>
        <v>#N/A</v>
      </c>
    </row>
    <row r="1137" ht="15.75" customHeight="1">
      <c r="C1137" s="47">
        <v>221224.0</v>
      </c>
      <c r="D1137" s="47" t="str">
        <f>VLOOKUP(C1137,'Equalização'!E:J,6,0)</f>
        <v>#N/A</v>
      </c>
    </row>
    <row r="1138" ht="15.75" customHeight="1">
      <c r="C1138" s="47">
        <v>226253.0</v>
      </c>
      <c r="D1138" s="47" t="str">
        <f>VLOOKUP(C1138,'Equalização'!E:J,6,0)</f>
        <v>#N/A</v>
      </c>
    </row>
    <row r="1139" ht="15.75" customHeight="1">
      <c r="C1139" s="47">
        <v>50776.0</v>
      </c>
      <c r="D1139" s="47" t="str">
        <f>VLOOKUP(C1139,'Equalização'!E:J,6,0)</f>
        <v>#N/A</v>
      </c>
    </row>
    <row r="1140" ht="15.75" customHeight="1">
      <c r="C1140" s="47">
        <v>206029.0</v>
      </c>
      <c r="D1140" s="47" t="str">
        <f>VLOOKUP(C1140,'Equalização'!E:J,6,0)</f>
        <v>#N/A</v>
      </c>
    </row>
    <row r="1141" ht="15.75" customHeight="1">
      <c r="C1141" s="47">
        <v>223930.0</v>
      </c>
      <c r="D1141" s="47" t="str">
        <f>VLOOKUP(C1141,'Equalização'!E:J,6,0)</f>
        <v>#N/A</v>
      </c>
    </row>
    <row r="1142" ht="15.75" customHeight="1">
      <c r="C1142" s="47">
        <v>211130.0</v>
      </c>
      <c r="D1142" s="47" t="str">
        <f>VLOOKUP(C1142,'Equalização'!E:J,6,0)</f>
        <v>#N/A</v>
      </c>
    </row>
    <row r="1143" ht="15.75" customHeight="1">
      <c r="C1143" s="47">
        <v>26298.0</v>
      </c>
      <c r="D1143" s="47" t="str">
        <f>VLOOKUP(C1143,'Equalização'!E:J,6,0)</f>
        <v>#N/A</v>
      </c>
    </row>
    <row r="1144" ht="15.75" customHeight="1">
      <c r="C1144" s="47">
        <v>204957.0</v>
      </c>
      <c r="D1144" s="47" t="str">
        <f>VLOOKUP(C1144,'Equalização'!E:J,6,0)</f>
        <v>#N/A</v>
      </c>
    </row>
    <row r="1145" ht="15.75" customHeight="1">
      <c r="C1145" s="47">
        <v>223933.0</v>
      </c>
      <c r="D1145" s="47" t="str">
        <f>VLOOKUP(C1145,'Equalização'!E:J,6,0)</f>
        <v>#N/A</v>
      </c>
    </row>
    <row r="1146" ht="15.75" customHeight="1">
      <c r="C1146" s="47">
        <v>223947.0</v>
      </c>
      <c r="D1146" s="47" t="str">
        <f>VLOOKUP(C1146,'Equalização'!E:J,6,0)</f>
        <v>#N/A</v>
      </c>
    </row>
    <row r="1147" ht="15.75" customHeight="1">
      <c r="C1147" s="47">
        <v>224086.0</v>
      </c>
      <c r="D1147" s="47" t="str">
        <f>VLOOKUP(C1147,'Equalização'!E:J,6,0)</f>
        <v>#N/A</v>
      </c>
    </row>
    <row r="1148" ht="15.75" customHeight="1">
      <c r="C1148" s="47">
        <v>204746.0</v>
      </c>
      <c r="D1148" s="47" t="str">
        <f>VLOOKUP(C1148,'Equalização'!E:J,6,0)</f>
        <v>#N/A</v>
      </c>
    </row>
    <row r="1149" ht="15.75" customHeight="1">
      <c r="C1149" s="47">
        <v>213083.0</v>
      </c>
      <c r="D1149" s="47" t="str">
        <f>VLOOKUP(C1149,'Equalização'!E:J,6,0)</f>
        <v>#N/A</v>
      </c>
    </row>
    <row r="1150" ht="15.75" customHeight="1">
      <c r="C1150" s="47">
        <v>169268.0</v>
      </c>
      <c r="D1150" s="47" t="str">
        <f>VLOOKUP(C1150,'Equalização'!E:J,6,0)</f>
        <v>#N/A</v>
      </c>
    </row>
    <row r="1151" ht="15.75" customHeight="1">
      <c r="C1151" s="47">
        <v>200874.0</v>
      </c>
      <c r="D1151" s="47" t="str">
        <f>VLOOKUP(C1151,'Equalização'!E:J,6,0)</f>
        <v>#N/A</v>
      </c>
    </row>
    <row r="1152" ht="15.75" customHeight="1">
      <c r="C1152" s="47">
        <v>204756.0</v>
      </c>
      <c r="D1152" s="47" t="str">
        <f>VLOOKUP(C1152,'Equalização'!E:J,6,0)</f>
        <v>#N/A</v>
      </c>
    </row>
    <row r="1153" ht="15.75" customHeight="1">
      <c r="C1153" s="47">
        <v>240212.0</v>
      </c>
      <c r="D1153" s="47" t="str">
        <f>VLOOKUP(C1153,'Equalização'!E:J,6,0)</f>
        <v>#N/A</v>
      </c>
    </row>
    <row r="1154" ht="15.75" customHeight="1">
      <c r="C1154" s="47">
        <v>160418.0</v>
      </c>
      <c r="D1154" s="47" t="str">
        <f>VLOOKUP(C1154,'Equalização'!E:J,6,0)</f>
        <v>#N/A</v>
      </c>
    </row>
    <row r="1155" ht="15.75" customHeight="1">
      <c r="C1155" s="47">
        <v>207789.0</v>
      </c>
      <c r="D1155" s="47" t="str">
        <f>VLOOKUP(C1155,'Equalização'!E:J,6,0)</f>
        <v>#N/A</v>
      </c>
    </row>
    <row r="1156" ht="15.75" customHeight="1">
      <c r="C1156" s="47">
        <v>220073.0</v>
      </c>
      <c r="D1156" s="47" t="str">
        <f>VLOOKUP(C1156,'Equalização'!E:J,6,0)</f>
        <v>#N/A</v>
      </c>
    </row>
    <row r="1157" ht="15.75" customHeight="1">
      <c r="C1157" s="47">
        <v>222802.0</v>
      </c>
      <c r="D1157" s="47" t="str">
        <f>VLOOKUP(C1157,'Equalização'!E:J,6,0)</f>
        <v>#N/A</v>
      </c>
    </row>
    <row r="1158" ht="15.75" customHeight="1">
      <c r="C1158" s="47">
        <v>201075.0</v>
      </c>
      <c r="D1158" s="47" t="str">
        <f>VLOOKUP(C1158,'Equalização'!E:J,6,0)</f>
        <v>#N/A</v>
      </c>
    </row>
    <row r="1159" ht="15.75" customHeight="1">
      <c r="C1159" s="47">
        <v>56871.0</v>
      </c>
      <c r="D1159" s="47" t="str">
        <f>VLOOKUP(C1159,'Equalização'!E:J,6,0)</f>
        <v>#N/A</v>
      </c>
    </row>
    <row r="1160" ht="15.75" customHeight="1">
      <c r="C1160" s="47">
        <v>212998.0</v>
      </c>
      <c r="D1160" s="47" t="str">
        <f>VLOOKUP(C1160,'Equalização'!E:J,6,0)</f>
        <v>#N/A</v>
      </c>
    </row>
    <row r="1161" ht="15.75" customHeight="1">
      <c r="C1161" s="47">
        <v>118484.0</v>
      </c>
      <c r="D1161" s="47" t="str">
        <f>VLOOKUP(C1161,'Equalização'!E:J,6,0)</f>
        <v>#N/A</v>
      </c>
    </row>
    <row r="1162" ht="15.75" customHeight="1">
      <c r="C1162" s="47">
        <v>221257.0</v>
      </c>
      <c r="D1162" s="47" t="str">
        <f>VLOOKUP(C1162,'Equalização'!E:J,6,0)</f>
        <v>#N/A</v>
      </c>
    </row>
    <row r="1163" ht="15.75" customHeight="1">
      <c r="C1163" s="47">
        <v>223376.0</v>
      </c>
      <c r="D1163" s="47" t="str">
        <f>VLOOKUP(C1163,'Equalização'!E:J,6,0)</f>
        <v>#N/A</v>
      </c>
    </row>
    <row r="1164" ht="15.75" customHeight="1">
      <c r="C1164" s="47">
        <v>207802.0</v>
      </c>
      <c r="D1164" s="47" t="str">
        <f>VLOOKUP(C1164,'Equalização'!E:J,6,0)</f>
        <v>#N/A</v>
      </c>
    </row>
    <row r="1165" ht="15.75" customHeight="1">
      <c r="C1165" s="47">
        <v>238039.0</v>
      </c>
      <c r="D1165" s="47" t="str">
        <f>VLOOKUP(C1165,'Equalização'!E:J,6,0)</f>
        <v>#N/A</v>
      </c>
    </row>
    <row r="1166" ht="15.75" customHeight="1">
      <c r="C1166" s="47">
        <v>92207.0</v>
      </c>
      <c r="D1166" s="47" t="str">
        <f>VLOOKUP(C1166,'Equalização'!E:J,6,0)</f>
        <v>#N/A</v>
      </c>
    </row>
    <row r="1167" ht="15.75" customHeight="1">
      <c r="C1167" s="47">
        <v>221253.0</v>
      </c>
      <c r="D1167" s="47" t="str">
        <f>VLOOKUP(C1167,'Equalização'!E:J,6,0)</f>
        <v>#N/A</v>
      </c>
    </row>
    <row r="1168" ht="15.75" customHeight="1">
      <c r="C1168" s="47">
        <v>214050.0</v>
      </c>
      <c r="D1168" s="47" t="str">
        <f>VLOOKUP(C1168,'Equalização'!E:J,6,0)</f>
        <v>#N/A</v>
      </c>
    </row>
    <row r="1169" ht="15.75" customHeight="1">
      <c r="C1169" s="47">
        <v>225715.0</v>
      </c>
      <c r="D1169" s="47" t="str">
        <f>VLOOKUP(C1169,'Equalização'!E:J,6,0)</f>
        <v>#N/A</v>
      </c>
    </row>
    <row r="1170" ht="15.75" customHeight="1">
      <c r="C1170" s="47">
        <v>207765.0</v>
      </c>
      <c r="D1170" s="47" t="str">
        <f>VLOOKUP(C1170,'Equalização'!E:J,6,0)</f>
        <v>#N/A</v>
      </c>
    </row>
    <row r="1171" ht="15.75" customHeight="1">
      <c r="C1171" s="47">
        <v>83534.0</v>
      </c>
      <c r="D1171" s="47" t="str">
        <f>VLOOKUP(C1171,'Equalização'!E:J,6,0)</f>
        <v>#N/A</v>
      </c>
    </row>
    <row r="1172" ht="15.75" customHeight="1">
      <c r="C1172" s="47">
        <v>204428.0</v>
      </c>
      <c r="D1172" s="47" t="str">
        <f>VLOOKUP(C1172,'Equalização'!E:J,6,0)</f>
        <v>#N/A</v>
      </c>
    </row>
    <row r="1173" ht="15.75" customHeight="1">
      <c r="C1173" s="47">
        <v>221518.0</v>
      </c>
      <c r="D1173" s="47" t="str">
        <f>VLOOKUP(C1173,'Equalização'!E:J,6,0)</f>
        <v>#N/A</v>
      </c>
    </row>
    <row r="1174" ht="15.75" customHeight="1">
      <c r="C1174" s="47">
        <v>56448.0</v>
      </c>
      <c r="D1174" s="47" t="str">
        <f>VLOOKUP(C1174,'Equalização'!E:J,6,0)</f>
        <v>#N/A</v>
      </c>
    </row>
    <row r="1175" ht="15.75" customHeight="1">
      <c r="C1175" s="47">
        <v>215795.0</v>
      </c>
      <c r="D1175" s="47" t="str">
        <f>VLOOKUP(C1175,'Equalização'!E:J,6,0)</f>
        <v>#N/A</v>
      </c>
    </row>
    <row r="1176" ht="15.75" customHeight="1">
      <c r="C1176" s="47">
        <v>225769.0</v>
      </c>
      <c r="D1176" s="47" t="str">
        <f>VLOOKUP(C1176,'Equalização'!E:J,6,0)</f>
        <v>#N/A</v>
      </c>
    </row>
    <row r="1177" ht="15.75" customHeight="1">
      <c r="C1177" s="47">
        <v>118428.0</v>
      </c>
      <c r="D1177" s="47" t="str">
        <f>VLOOKUP(C1177,'Equalização'!E:J,6,0)</f>
        <v>#N/A</v>
      </c>
    </row>
    <row r="1178" ht="15.75" customHeight="1">
      <c r="C1178" s="47">
        <v>226296.0</v>
      </c>
      <c r="D1178" s="47" t="str">
        <f>VLOOKUP(C1178,'Equalização'!E:J,6,0)</f>
        <v>#N/A</v>
      </c>
    </row>
    <row r="1179" ht="15.75" customHeight="1">
      <c r="C1179" s="47">
        <v>54542.0</v>
      </c>
      <c r="D1179" s="47" t="str">
        <f>VLOOKUP(C1179,'Equalização'!E:J,6,0)</f>
        <v>#N/A</v>
      </c>
    </row>
    <row r="1180" ht="15.75" customHeight="1">
      <c r="C1180" s="47">
        <v>210958.0</v>
      </c>
      <c r="D1180" s="47" t="str">
        <f>VLOOKUP(C1180,'Equalização'!E:J,6,0)</f>
        <v>#N/A</v>
      </c>
    </row>
    <row r="1181" ht="15.75" customHeight="1">
      <c r="C1181" s="47">
        <v>207211.0</v>
      </c>
      <c r="D1181" s="47" t="str">
        <f>VLOOKUP(C1181,'Equalização'!E:J,6,0)</f>
        <v>#N/A</v>
      </c>
    </row>
    <row r="1182" ht="15.75" customHeight="1">
      <c r="C1182" s="47">
        <v>221422.0</v>
      </c>
      <c r="D1182" s="47" t="str">
        <f>VLOOKUP(C1182,'Equalização'!E:J,6,0)</f>
        <v>#N/A</v>
      </c>
    </row>
    <row r="1183" ht="15.75" customHeight="1">
      <c r="C1183" s="47">
        <v>240295.0</v>
      </c>
      <c r="D1183" s="47" t="str">
        <f>VLOOKUP(C1183,'Equalização'!E:J,6,0)</f>
        <v>#N/A</v>
      </c>
    </row>
    <row r="1184" ht="15.75" customHeight="1">
      <c r="C1184" s="47">
        <v>211676.0</v>
      </c>
      <c r="D1184" s="47" t="str">
        <f>VLOOKUP(C1184,'Equalização'!E:J,6,0)</f>
        <v>#N/A</v>
      </c>
    </row>
    <row r="1185" ht="15.75" customHeight="1">
      <c r="C1185" s="47">
        <v>227740.0</v>
      </c>
      <c r="D1185" s="47" t="str">
        <f>VLOOKUP(C1185,'Equalização'!E:J,6,0)</f>
        <v>#N/A</v>
      </c>
    </row>
    <row r="1186" ht="15.75" customHeight="1">
      <c r="C1186" s="47">
        <v>238037.0</v>
      </c>
      <c r="D1186" s="47" t="str">
        <f>VLOOKUP(C1186,'Equalização'!E:J,6,0)</f>
        <v>#N/A</v>
      </c>
    </row>
    <row r="1187" ht="15.75" customHeight="1">
      <c r="C1187" s="47">
        <v>225575.0</v>
      </c>
      <c r="D1187" s="47" t="str">
        <f>VLOOKUP(C1187,'Equalização'!E:J,6,0)</f>
        <v>#N/A</v>
      </c>
    </row>
    <row r="1188" ht="15.75" customHeight="1">
      <c r="C1188" s="47">
        <v>220163.0</v>
      </c>
      <c r="D1188" s="47" t="str">
        <f>VLOOKUP(C1188,'Equalização'!E:J,6,0)</f>
        <v>#N/A</v>
      </c>
    </row>
    <row r="1189" ht="15.75" customHeight="1">
      <c r="C1189" s="47">
        <v>225533.0</v>
      </c>
      <c r="D1189" s="47" t="str">
        <f>VLOOKUP(C1189,'Equalização'!E:J,6,0)</f>
        <v>#N/A</v>
      </c>
    </row>
    <row r="1190" ht="15.75" customHeight="1">
      <c r="C1190" s="47">
        <v>222805.0</v>
      </c>
      <c r="D1190" s="47" t="str">
        <f>VLOOKUP(C1190,'Equalização'!E:J,6,0)</f>
        <v>#N/A</v>
      </c>
    </row>
    <row r="1191" ht="15.75" customHeight="1">
      <c r="C1191" s="47">
        <v>240236.0</v>
      </c>
      <c r="D1191" s="47" t="str">
        <f>VLOOKUP(C1191,'Equalização'!E:J,6,0)</f>
        <v>#N/A</v>
      </c>
    </row>
    <row r="1192" ht="15.75" customHeight="1">
      <c r="C1192" s="47">
        <v>153620.0</v>
      </c>
      <c r="D1192" s="47" t="str">
        <f>VLOOKUP(C1192,'Equalização'!E:J,6,0)</f>
        <v>#N/A</v>
      </c>
    </row>
    <row r="1193" ht="15.75" customHeight="1">
      <c r="C1193" s="47">
        <v>211175.0</v>
      </c>
      <c r="D1193" s="47" t="str">
        <f>VLOOKUP(C1193,'Equalização'!E:J,6,0)</f>
        <v>#N/A</v>
      </c>
    </row>
    <row r="1194" ht="15.75" customHeight="1">
      <c r="C1194" s="47">
        <v>240206.0</v>
      </c>
      <c r="D1194" s="47" t="str">
        <f>VLOOKUP(C1194,'Equalização'!E:J,6,0)</f>
        <v>#N/A</v>
      </c>
    </row>
    <row r="1195" ht="15.75" customHeight="1">
      <c r="C1195" s="47">
        <v>240210.0</v>
      </c>
      <c r="D1195" s="47" t="str">
        <f>VLOOKUP(C1195,'Equalização'!E:J,6,0)</f>
        <v>#N/A</v>
      </c>
    </row>
    <row r="1196" ht="15.75" customHeight="1">
      <c r="C1196" s="47">
        <v>240220.0</v>
      </c>
      <c r="D1196" s="47" t="str">
        <f>VLOOKUP(C1196,'Equalização'!E:J,6,0)</f>
        <v>#N/A</v>
      </c>
    </row>
    <row r="1197" ht="15.75" customHeight="1">
      <c r="C1197" s="47">
        <v>240222.0</v>
      </c>
      <c r="D1197" s="47" t="str">
        <f>VLOOKUP(C1197,'Equalização'!E:J,6,0)</f>
        <v>#N/A</v>
      </c>
    </row>
    <row r="1198" ht="15.75" customHeight="1">
      <c r="C1198" s="47">
        <v>240230.0</v>
      </c>
      <c r="D1198" s="47" t="str">
        <f>VLOOKUP(C1198,'Equalização'!E:J,6,0)</f>
        <v>#N/A</v>
      </c>
    </row>
    <row r="1199" ht="15.75" customHeight="1">
      <c r="C1199" s="47">
        <v>240242.0</v>
      </c>
      <c r="D1199" s="47" t="str">
        <f>VLOOKUP(C1199,'Equalização'!E:J,6,0)</f>
        <v>#N/A</v>
      </c>
    </row>
    <row r="1200" ht="15.75" customHeight="1">
      <c r="C1200" s="47">
        <v>205934.0</v>
      </c>
      <c r="D1200" s="47" t="str">
        <f>VLOOKUP(C1200,'Equalização'!E:J,6,0)</f>
        <v>#N/A</v>
      </c>
    </row>
    <row r="1201" ht="15.75" customHeight="1">
      <c r="C1201" s="47">
        <v>239280.0</v>
      </c>
      <c r="D1201" s="47" t="str">
        <f>VLOOKUP(C1201,'Equalização'!E:J,6,0)</f>
        <v>#N/A</v>
      </c>
    </row>
    <row r="1202" ht="15.75" customHeight="1">
      <c r="C1202" s="47">
        <v>226272.0</v>
      </c>
      <c r="D1202" s="47" t="str">
        <f>VLOOKUP(C1202,'Equalização'!E:J,6,0)</f>
        <v>#N/A</v>
      </c>
    </row>
    <row r="1203" ht="15.75" customHeight="1">
      <c r="C1203" s="47">
        <v>129023.0</v>
      </c>
      <c r="D1203" s="47" t="str">
        <f>VLOOKUP(C1203,'Equalização'!E:J,6,0)</f>
        <v>#N/A</v>
      </c>
    </row>
    <row r="1204" ht="15.75" customHeight="1">
      <c r="C1204" s="47">
        <v>213143.0</v>
      </c>
      <c r="D1204" s="47" t="str">
        <f>VLOOKUP(C1204,'Equalização'!E:J,6,0)</f>
        <v>#N/A</v>
      </c>
    </row>
    <row r="1205" ht="15.75" customHeight="1">
      <c r="C1205" s="47">
        <v>207803.0</v>
      </c>
      <c r="D1205" s="47" t="str">
        <f>VLOOKUP(C1205,'Equalização'!E:J,6,0)</f>
        <v>#N/A</v>
      </c>
    </row>
    <row r="1206" ht="15.75" customHeight="1">
      <c r="C1206" s="47">
        <v>225121.0</v>
      </c>
      <c r="D1206" s="47" t="str">
        <f>VLOOKUP(C1206,'Equalização'!E:J,6,0)</f>
        <v>#N/A</v>
      </c>
    </row>
    <row r="1207" ht="15.75" customHeight="1">
      <c r="C1207" s="47">
        <v>210081.0</v>
      </c>
      <c r="D1207" s="47" t="str">
        <f>VLOOKUP(C1207,'Equalização'!E:J,6,0)</f>
        <v>#N/A</v>
      </c>
    </row>
    <row r="1208" ht="15.75" customHeight="1">
      <c r="C1208" s="47">
        <v>217878.0</v>
      </c>
      <c r="D1208" s="47" t="str">
        <f>VLOOKUP(C1208,'Equalização'!E:J,6,0)</f>
        <v>#N/A</v>
      </c>
    </row>
    <row r="1209" ht="15.75" customHeight="1">
      <c r="C1209" s="47">
        <v>219903.0</v>
      </c>
      <c r="D1209" s="47" t="str">
        <f>VLOOKUP(C1209,'Equalização'!E:J,6,0)</f>
        <v>#N/A</v>
      </c>
    </row>
    <row r="1210" ht="15.75" customHeight="1">
      <c r="C1210" s="47">
        <v>225874.0</v>
      </c>
      <c r="D1210" s="47" t="str">
        <f>VLOOKUP(C1210,'Equalização'!E:J,6,0)</f>
        <v>#N/A</v>
      </c>
    </row>
    <row r="1211" ht="15.75" customHeight="1">
      <c r="C1211" s="47">
        <v>207795.0</v>
      </c>
      <c r="D1211" s="47" t="str">
        <f>VLOOKUP(C1211,'Equalização'!E:J,6,0)</f>
        <v>#N/A</v>
      </c>
    </row>
    <row r="1212" ht="15.75" customHeight="1">
      <c r="C1212" s="47">
        <v>222368.0</v>
      </c>
      <c r="D1212" s="47" t="str">
        <f>VLOOKUP(C1212,'Equalização'!E:J,6,0)</f>
        <v>#N/A</v>
      </c>
    </row>
    <row r="1213" ht="15.75" customHeight="1">
      <c r="C1213" s="47">
        <v>228283.0</v>
      </c>
      <c r="D1213" s="47" t="str">
        <f>VLOOKUP(C1213,'Equalização'!E:J,6,0)</f>
        <v>#N/A</v>
      </c>
    </row>
    <row r="1214" ht="15.75" customHeight="1">
      <c r="C1214" s="47">
        <v>219353.0</v>
      </c>
      <c r="D1214" s="47" t="str">
        <f>VLOOKUP(C1214,'Equalização'!E:J,6,0)</f>
        <v>#N/A</v>
      </c>
    </row>
    <row r="1215" ht="15.75" customHeight="1">
      <c r="C1215" s="47">
        <v>213010.0</v>
      </c>
      <c r="D1215" s="47" t="str">
        <f>VLOOKUP(C1215,'Equalização'!E:J,6,0)</f>
        <v>#N/A</v>
      </c>
    </row>
    <row r="1216" ht="15.75" customHeight="1">
      <c r="C1216" s="47">
        <v>226192.0</v>
      </c>
      <c r="D1216" s="47" t="str">
        <f>VLOOKUP(C1216,'Equalização'!E:J,6,0)</f>
        <v>#N/A</v>
      </c>
    </row>
    <row r="1217" ht="15.75" customHeight="1">
      <c r="C1217" s="47">
        <v>169196.0</v>
      </c>
      <c r="D1217" s="47" t="str">
        <f>VLOOKUP(C1217,'Equalização'!E:J,6,0)</f>
        <v>#N/A</v>
      </c>
    </row>
    <row r="1218" ht="15.75" customHeight="1">
      <c r="C1218" s="47">
        <v>211370.0</v>
      </c>
      <c r="D1218" s="47" t="str">
        <f>VLOOKUP(C1218,'Equalização'!E:J,6,0)</f>
        <v>#N/A</v>
      </c>
    </row>
    <row r="1219" ht="15.75" customHeight="1">
      <c r="C1219" s="47">
        <v>211684.0</v>
      </c>
      <c r="D1219" s="47" t="str">
        <f>VLOOKUP(C1219,'Equalização'!E:J,6,0)</f>
        <v>#N/A</v>
      </c>
    </row>
    <row r="1220" ht="15.75" customHeight="1">
      <c r="C1220" s="47">
        <v>211644.0</v>
      </c>
      <c r="D1220" s="47" t="str">
        <f>VLOOKUP(C1220,'Equalização'!E:J,6,0)</f>
        <v>#N/A</v>
      </c>
    </row>
    <row r="1221" ht="15.75" customHeight="1">
      <c r="C1221" s="47">
        <v>214076.0</v>
      </c>
      <c r="D1221" s="47" t="str">
        <f>VLOOKUP(C1221,'Equalização'!E:J,6,0)</f>
        <v>#N/A</v>
      </c>
    </row>
    <row r="1222" ht="15.75" customHeight="1">
      <c r="C1222" s="47">
        <v>224298.0</v>
      </c>
      <c r="D1222" s="47" t="str">
        <f>VLOOKUP(C1222,'Equalização'!E:J,6,0)</f>
        <v>#N/A</v>
      </c>
    </row>
    <row r="1223" ht="15.75" customHeight="1">
      <c r="C1223" s="47">
        <v>214059.0</v>
      </c>
      <c r="D1223" s="47" t="str">
        <f>VLOOKUP(C1223,'Equalização'!E:J,6,0)</f>
        <v>#N/A</v>
      </c>
    </row>
    <row r="1224" ht="15.75" customHeight="1">
      <c r="C1224" s="47">
        <v>222806.0</v>
      </c>
      <c r="D1224" s="47" t="str">
        <f>VLOOKUP(C1224,'Equalização'!E:J,6,0)</f>
        <v>#N/A</v>
      </c>
    </row>
    <row r="1225" ht="15.75" customHeight="1">
      <c r="C1225" s="47">
        <v>140003.0</v>
      </c>
      <c r="D1225" s="47" t="str">
        <f>VLOOKUP(C1225,'Equalização'!E:J,6,0)</f>
        <v>#N/A</v>
      </c>
    </row>
    <row r="1226" ht="15.75" customHeight="1">
      <c r="C1226" s="47">
        <v>226900.0</v>
      </c>
      <c r="D1226" s="47" t="str">
        <f>VLOOKUP(C1226,'Equalização'!E:J,6,0)</f>
        <v>#N/A</v>
      </c>
    </row>
    <row r="1227" ht="15.75" customHeight="1">
      <c r="C1227" s="47">
        <v>231063.0</v>
      </c>
      <c r="D1227" s="47" t="str">
        <f>VLOOKUP(C1227,'Equalização'!E:J,6,0)</f>
        <v>#N/A</v>
      </c>
    </row>
    <row r="1228" ht="15.75" customHeight="1">
      <c r="C1228" s="47">
        <v>213093.0</v>
      </c>
      <c r="D1228" s="47" t="str">
        <f>VLOOKUP(C1228,'Equalização'!E:J,6,0)</f>
        <v>#N/A</v>
      </c>
    </row>
    <row r="1229" ht="15.75" customHeight="1">
      <c r="C1229" s="47">
        <v>213103.0</v>
      </c>
      <c r="D1229" s="47" t="str">
        <f>VLOOKUP(C1229,'Equalização'!E:J,6,0)</f>
        <v>#N/A</v>
      </c>
    </row>
    <row r="1230" ht="15.75" customHeight="1">
      <c r="C1230" s="47">
        <v>213019.0</v>
      </c>
      <c r="D1230" s="47" t="str">
        <f>VLOOKUP(C1230,'Equalização'!E:J,6,0)</f>
        <v>#N/A</v>
      </c>
    </row>
    <row r="1231" ht="15.75" customHeight="1">
      <c r="C1231" s="47">
        <v>225709.0</v>
      </c>
      <c r="D1231" s="47" t="str">
        <f>VLOOKUP(C1231,'Equalização'!E:J,6,0)</f>
        <v>#N/A</v>
      </c>
    </row>
    <row r="1232" ht="15.75" customHeight="1">
      <c r="C1232" s="47">
        <v>213224.0</v>
      </c>
      <c r="D1232" s="47" t="str">
        <f>VLOOKUP(C1232,'Equalização'!E:J,6,0)</f>
        <v>#N/A</v>
      </c>
    </row>
    <row r="1233" ht="15.75" customHeight="1">
      <c r="C1233" s="47">
        <v>214037.0</v>
      </c>
      <c r="D1233" s="47" t="str">
        <f>VLOOKUP(C1233,'Equalização'!E:J,6,0)</f>
        <v>#N/A</v>
      </c>
    </row>
    <row r="1234" ht="15.75" customHeight="1">
      <c r="C1234" s="47">
        <v>226189.0</v>
      </c>
      <c r="D1234" s="47" t="str">
        <f>VLOOKUP(C1234,'Equalização'!E:J,6,0)</f>
        <v>#N/A</v>
      </c>
    </row>
    <row r="1235" ht="15.75" customHeight="1">
      <c r="C1235" s="47">
        <v>220115.0</v>
      </c>
      <c r="D1235" s="47" t="str">
        <f>VLOOKUP(C1235,'Equalização'!E:J,6,0)</f>
        <v>#N/A</v>
      </c>
    </row>
    <row r="1236" ht="15.75" customHeight="1">
      <c r="C1236" s="47">
        <v>154210.0</v>
      </c>
      <c r="D1236" s="47" t="str">
        <f>VLOOKUP(C1236,'Equalização'!E:J,6,0)</f>
        <v>#N/A</v>
      </c>
    </row>
    <row r="1237" ht="15.75" customHeight="1">
      <c r="C1237" s="47">
        <v>206039.0</v>
      </c>
      <c r="D1237" s="47" t="str">
        <f>VLOOKUP(C1237,'Equalização'!E:J,6,0)</f>
        <v>#N/A</v>
      </c>
    </row>
    <row r="1238" ht="15.75" customHeight="1">
      <c r="C1238" s="47">
        <v>213078.0</v>
      </c>
      <c r="D1238" s="47" t="str">
        <f>VLOOKUP(C1238,'Equalização'!E:J,6,0)</f>
        <v>#N/A</v>
      </c>
    </row>
    <row r="1239" ht="15.75" customHeight="1">
      <c r="C1239" s="47">
        <v>217987.0</v>
      </c>
      <c r="D1239" s="47" t="str">
        <f>VLOOKUP(C1239,'Equalização'!E:J,6,0)</f>
        <v>#N/A</v>
      </c>
    </row>
    <row r="1240" ht="15.75" customHeight="1">
      <c r="C1240" s="47">
        <v>222447.0</v>
      </c>
      <c r="D1240" s="47" t="str">
        <f>VLOOKUP(C1240,'Equalização'!E:J,6,0)</f>
        <v>#N/A</v>
      </c>
    </row>
    <row r="1241" ht="15.75" customHeight="1">
      <c r="C1241" s="47">
        <v>225669.0</v>
      </c>
      <c r="D1241" s="47" t="str">
        <f>VLOOKUP(C1241,'Equalização'!E:J,6,0)</f>
        <v>#N/A</v>
      </c>
    </row>
    <row r="1242" ht="15.75" customHeight="1">
      <c r="C1242" s="47">
        <v>214699.0</v>
      </c>
      <c r="D1242" s="47" t="str">
        <f>VLOOKUP(C1242,'Equalização'!E:J,6,0)</f>
        <v>#N/A</v>
      </c>
    </row>
    <row r="1243" ht="15.75" customHeight="1">
      <c r="C1243" s="47">
        <v>207273.0</v>
      </c>
      <c r="D1243" s="47" t="str">
        <f>VLOOKUP(C1243,'Equalização'!E:J,6,0)</f>
        <v>#N/A</v>
      </c>
    </row>
    <row r="1244" ht="15.75" customHeight="1">
      <c r="C1244" s="47">
        <v>225704.0</v>
      </c>
      <c r="D1244" s="47" t="str">
        <f>VLOOKUP(C1244,'Equalização'!E:J,6,0)</f>
        <v>#N/A</v>
      </c>
    </row>
    <row r="1245" ht="15.75" customHeight="1">
      <c r="C1245" s="47">
        <v>220613.0</v>
      </c>
      <c r="D1245" s="47" t="str">
        <f>VLOOKUP(C1245,'Equalização'!E:J,6,0)</f>
        <v>#N/A</v>
      </c>
    </row>
    <row r="1246" ht="15.75" customHeight="1">
      <c r="C1246" s="47">
        <v>221269.0</v>
      </c>
      <c r="D1246" s="47" t="str">
        <f>VLOOKUP(C1246,'Equalização'!E:J,6,0)</f>
        <v>#N/A</v>
      </c>
    </row>
    <row r="1247" ht="15.75" customHeight="1">
      <c r="C1247" s="47">
        <v>229214.0</v>
      </c>
      <c r="D1247" s="47" t="str">
        <f>VLOOKUP(C1247,'Equalização'!E:J,6,0)</f>
        <v>#N/A</v>
      </c>
    </row>
    <row r="1248" ht="15.75" customHeight="1">
      <c r="C1248" s="47">
        <v>237820.0</v>
      </c>
      <c r="D1248" s="47" t="str">
        <f>VLOOKUP(C1248,'Equalização'!E:J,6,0)</f>
        <v>#N/A</v>
      </c>
    </row>
    <row r="1249" ht="15.75" customHeight="1">
      <c r="C1249" s="47">
        <v>238433.0</v>
      </c>
      <c r="D1249" s="47" t="str">
        <f>VLOOKUP(C1249,'Equalização'!E:J,6,0)</f>
        <v>#N/A</v>
      </c>
    </row>
    <row r="1250" ht="15.75" customHeight="1">
      <c r="C1250" s="47">
        <v>141333.0</v>
      </c>
      <c r="D1250" s="47" t="str">
        <f>VLOOKUP(C1250,'Equalização'!E:J,6,0)</f>
        <v>#N/A</v>
      </c>
    </row>
    <row r="1251" ht="15.75" customHeight="1">
      <c r="C1251" s="47">
        <v>220112.0</v>
      </c>
      <c r="D1251" s="47" t="str">
        <f>VLOOKUP(C1251,'Equalização'!E:J,6,0)</f>
        <v>#N/A</v>
      </c>
    </row>
    <row r="1252" ht="15.75" customHeight="1">
      <c r="C1252" s="47">
        <v>225881.0</v>
      </c>
      <c r="D1252" s="47" t="str">
        <f>VLOOKUP(C1252,'Equalização'!E:J,6,0)</f>
        <v>#N/A</v>
      </c>
    </row>
    <row r="1253" ht="15.75" customHeight="1">
      <c r="C1253" s="47">
        <v>211626.0</v>
      </c>
      <c r="D1253" s="47" t="str">
        <f>VLOOKUP(C1253,'Equalização'!E:J,6,0)</f>
        <v>#N/A</v>
      </c>
    </row>
    <row r="1254" ht="15.75" customHeight="1">
      <c r="C1254" s="47">
        <v>231327.0</v>
      </c>
      <c r="D1254" s="47" t="str">
        <f>VLOOKUP(C1254,'Equalização'!E:J,6,0)</f>
        <v>#N/A</v>
      </c>
    </row>
    <row r="1255" ht="15.75" customHeight="1">
      <c r="C1255" s="47">
        <v>205711.0</v>
      </c>
      <c r="D1255" s="47" t="str">
        <f>VLOOKUP(C1255,'Equalização'!E:J,6,0)</f>
        <v>#N/A</v>
      </c>
    </row>
    <row r="1256" ht="15.75" customHeight="1">
      <c r="C1256" s="47">
        <v>210604.0</v>
      </c>
      <c r="D1256" s="47" t="str">
        <f>VLOOKUP(C1256,'Equalização'!E:J,6,0)</f>
        <v>#N/A</v>
      </c>
    </row>
    <row r="1257" ht="15.75" customHeight="1">
      <c r="C1257" s="47">
        <v>223347.0</v>
      </c>
      <c r="D1257" s="47" t="str">
        <f>VLOOKUP(C1257,'Equalização'!E:J,6,0)</f>
        <v>#N/A</v>
      </c>
    </row>
    <row r="1258" ht="15.75" customHeight="1">
      <c r="C1258" s="47">
        <v>213175.0</v>
      </c>
      <c r="D1258" s="47" t="str">
        <f>VLOOKUP(C1258,'Equalização'!E:J,6,0)</f>
        <v>#N/A</v>
      </c>
    </row>
    <row r="1259" ht="15.75" customHeight="1">
      <c r="C1259" s="47">
        <v>57770.0</v>
      </c>
      <c r="D1259" s="47" t="str">
        <f>VLOOKUP(C1259,'Equalização'!E:J,6,0)</f>
        <v>#N/A</v>
      </c>
    </row>
    <row r="1260" ht="15.75" customHeight="1">
      <c r="C1260" s="47">
        <v>158921.0</v>
      </c>
      <c r="D1260" s="47" t="str">
        <f>VLOOKUP(C1260,'Equalização'!E:J,6,0)</f>
        <v>#N/A</v>
      </c>
    </row>
    <row r="1261" ht="15.75" customHeight="1">
      <c r="C1261" s="47">
        <v>161437.0</v>
      </c>
      <c r="D1261" s="47" t="str">
        <f>VLOOKUP(C1261,'Equalização'!E:J,6,0)</f>
        <v>#N/A</v>
      </c>
    </row>
    <row r="1262" ht="15.75" customHeight="1">
      <c r="C1262" s="47">
        <v>207162.0</v>
      </c>
      <c r="D1262" s="47" t="str">
        <f>VLOOKUP(C1262,'Equalização'!E:J,6,0)</f>
        <v>#N/A</v>
      </c>
    </row>
    <row r="1263" ht="15.75" customHeight="1">
      <c r="C1263" s="47">
        <v>213091.0</v>
      </c>
      <c r="D1263" s="47" t="str">
        <f>VLOOKUP(C1263,'Equalização'!E:J,6,0)</f>
        <v>#N/A</v>
      </c>
    </row>
    <row r="1264" ht="15.75" customHeight="1">
      <c r="C1264" s="47">
        <v>238447.0</v>
      </c>
      <c r="D1264" s="47" t="str">
        <f>VLOOKUP(C1264,'Equalização'!E:J,6,0)</f>
        <v>#N/A</v>
      </c>
    </row>
    <row r="1265" ht="15.75" customHeight="1">
      <c r="C1265" s="47">
        <v>213042.0</v>
      </c>
      <c r="D1265" s="47" t="str">
        <f>VLOOKUP(C1265,'Equalização'!E:J,6,0)</f>
        <v>#N/A</v>
      </c>
    </row>
    <row r="1266" ht="15.75" customHeight="1">
      <c r="C1266" s="47">
        <v>227731.0</v>
      </c>
      <c r="D1266" s="47" t="str">
        <f>VLOOKUP(C1266,'Equalização'!E:J,6,0)</f>
        <v>#N/A</v>
      </c>
    </row>
    <row r="1267" ht="15.75" customHeight="1">
      <c r="C1267" s="47">
        <v>225755.0</v>
      </c>
      <c r="D1267" s="47" t="str">
        <f>VLOOKUP(C1267,'Equalização'!E:J,6,0)</f>
        <v>#N/A</v>
      </c>
    </row>
    <row r="1268" ht="15.75" customHeight="1">
      <c r="C1268" s="47">
        <v>164708.0</v>
      </c>
      <c r="D1268" s="47" t="str">
        <f>VLOOKUP(C1268,'Equalização'!E:J,6,0)</f>
        <v>#N/A</v>
      </c>
    </row>
    <row r="1269" ht="15.75" customHeight="1">
      <c r="C1269" s="47">
        <v>222993.0</v>
      </c>
      <c r="D1269" s="47" t="str">
        <f>VLOOKUP(C1269,'Equalização'!E:J,6,0)</f>
        <v>#N/A</v>
      </c>
    </row>
    <row r="1270" ht="15.75" customHeight="1">
      <c r="C1270" s="47">
        <v>213896.0</v>
      </c>
      <c r="D1270" s="47" t="str">
        <f>VLOOKUP(C1270,'Equalização'!E:J,6,0)</f>
        <v>#N/A</v>
      </c>
    </row>
    <row r="1271" ht="15.75" customHeight="1">
      <c r="C1271" s="47">
        <v>210603.0</v>
      </c>
      <c r="D1271" s="47" t="str">
        <f>VLOOKUP(C1271,'Equalização'!E:J,6,0)</f>
        <v>#N/A</v>
      </c>
    </row>
    <row r="1272" ht="15.75" customHeight="1">
      <c r="C1272" s="47">
        <v>59862.0</v>
      </c>
      <c r="D1272" s="47" t="str">
        <f>VLOOKUP(C1272,'Equalização'!E:J,6,0)</f>
        <v>#N/A</v>
      </c>
    </row>
    <row r="1273" ht="15.75" customHeight="1">
      <c r="C1273" s="47">
        <v>224831.0</v>
      </c>
      <c r="D1273" s="47" t="str">
        <f>VLOOKUP(C1273,'Equalização'!E:J,6,0)</f>
        <v>#N/A</v>
      </c>
    </row>
    <row r="1274" ht="15.75" customHeight="1">
      <c r="C1274" s="47">
        <v>212159.0</v>
      </c>
      <c r="D1274" s="47" t="str">
        <f>VLOOKUP(C1274,'Equalização'!E:J,6,0)</f>
        <v>#N/A</v>
      </c>
    </row>
    <row r="1275" ht="15.75" customHeight="1">
      <c r="C1275" s="47">
        <v>225895.0</v>
      </c>
      <c r="D1275" s="47" t="str">
        <f>VLOOKUP(C1275,'Equalização'!E:J,6,0)</f>
        <v>#N/A</v>
      </c>
    </row>
    <row r="1276" ht="15.75" customHeight="1">
      <c r="C1276" s="47">
        <v>56138.0</v>
      </c>
      <c r="D1276" s="47" t="str">
        <f>VLOOKUP(C1276,'Equalização'!E:J,6,0)</f>
        <v>#N/A</v>
      </c>
    </row>
    <row r="1277" ht="15.75" customHeight="1">
      <c r="C1277" s="47">
        <v>207850.0</v>
      </c>
      <c r="D1277" s="47" t="str">
        <f>VLOOKUP(C1277,'Equalização'!E:J,6,0)</f>
        <v>#N/A</v>
      </c>
    </row>
    <row r="1278" ht="15.75" customHeight="1">
      <c r="C1278" s="47">
        <v>221246.0</v>
      </c>
      <c r="D1278" s="47" t="str">
        <f>VLOOKUP(C1278,'Equalização'!E:J,6,0)</f>
        <v>#N/A</v>
      </c>
    </row>
    <row r="1279" ht="15.75" customHeight="1">
      <c r="C1279" s="47">
        <v>230878.0</v>
      </c>
      <c r="D1279" s="47" t="str">
        <f>VLOOKUP(C1279,'Equalização'!E:J,6,0)</f>
        <v>#N/A</v>
      </c>
    </row>
    <row r="1280" ht="15.75" customHeight="1">
      <c r="C1280" s="47">
        <v>230879.0</v>
      </c>
      <c r="D1280" s="47" t="str">
        <f>VLOOKUP(C1280,'Equalização'!E:J,6,0)</f>
        <v>#N/A</v>
      </c>
    </row>
    <row r="1281" ht="15.75" customHeight="1">
      <c r="C1281" s="47">
        <v>241257.0</v>
      </c>
      <c r="D1281" s="47" t="str">
        <f>VLOOKUP(C1281,'Equalização'!E:J,6,0)</f>
        <v>#N/A</v>
      </c>
    </row>
    <row r="1282" ht="15.75" customHeight="1">
      <c r="C1282" s="47">
        <v>225530.0</v>
      </c>
      <c r="D1282" s="47" t="str">
        <f>VLOOKUP(C1282,'Equalização'!E:J,6,0)</f>
        <v>#N/A</v>
      </c>
    </row>
    <row r="1283" ht="15.75" customHeight="1">
      <c r="C1283" s="47">
        <v>236073.0</v>
      </c>
      <c r="D1283" s="47" t="str">
        <f>VLOOKUP(C1283,'Equalização'!E:J,6,0)</f>
        <v>#N/A</v>
      </c>
    </row>
    <row r="1284" ht="15.75" customHeight="1">
      <c r="C1284" s="47">
        <v>240219.0</v>
      </c>
      <c r="D1284" s="47" t="str">
        <f>VLOOKUP(C1284,'Equalização'!E:J,6,0)</f>
        <v>#N/A</v>
      </c>
    </row>
    <row r="1285" ht="15.75" customHeight="1">
      <c r="C1285" s="47">
        <v>207758.0</v>
      </c>
      <c r="D1285" s="47" t="str">
        <f>VLOOKUP(C1285,'Equalização'!E:J,6,0)</f>
        <v>#N/A</v>
      </c>
    </row>
    <row r="1286" ht="15.75" customHeight="1">
      <c r="C1286" s="47">
        <v>37427.0</v>
      </c>
      <c r="D1286" s="47" t="str">
        <f>VLOOKUP(C1286,'Equalização'!E:J,6,0)</f>
        <v>#N/A</v>
      </c>
    </row>
    <row r="1287" ht="15.75" customHeight="1">
      <c r="C1287" s="47">
        <v>142931.0</v>
      </c>
      <c r="D1287" s="47" t="str">
        <f>VLOOKUP(C1287,'Equalização'!E:J,6,0)</f>
        <v>#N/A</v>
      </c>
    </row>
    <row r="1288" ht="15.75" customHeight="1">
      <c r="C1288" s="47">
        <v>55611.0</v>
      </c>
      <c r="D1288" s="47" t="str">
        <f>VLOOKUP(C1288,'Equalização'!E:J,6,0)</f>
        <v>#N/A</v>
      </c>
    </row>
    <row r="1289" ht="15.75" customHeight="1">
      <c r="C1289" s="47">
        <v>181057.0</v>
      </c>
      <c r="D1289" s="47" t="str">
        <f>VLOOKUP(C1289,'Equalização'!E:J,6,0)</f>
        <v>#N/A</v>
      </c>
    </row>
    <row r="1290" ht="15.75" customHeight="1">
      <c r="C1290" s="47">
        <v>225563.0</v>
      </c>
      <c r="D1290" s="47" t="str">
        <f>VLOOKUP(C1290,'Equalização'!E:J,6,0)</f>
        <v>#N/A</v>
      </c>
    </row>
    <row r="1291" ht="15.75" customHeight="1">
      <c r="C1291" s="47">
        <v>119547.0</v>
      </c>
      <c r="D1291" s="47" t="str">
        <f>VLOOKUP(C1291,'Equalização'!E:J,6,0)</f>
        <v>#N/A</v>
      </c>
    </row>
    <row r="1292" ht="15.75" customHeight="1">
      <c r="C1292" s="47">
        <v>154218.0</v>
      </c>
      <c r="D1292" s="47" t="str">
        <f>VLOOKUP(C1292,'Equalização'!E:J,6,0)</f>
        <v>#N/A</v>
      </c>
    </row>
    <row r="1293" ht="15.75" customHeight="1">
      <c r="C1293" s="47">
        <v>120186.0</v>
      </c>
      <c r="D1293" s="47" t="str">
        <f>VLOOKUP(C1293,'Equalização'!E:J,6,0)</f>
        <v>#N/A</v>
      </c>
    </row>
    <row r="1294" ht="15.75" customHeight="1">
      <c r="C1294" s="47">
        <v>211402.0</v>
      </c>
      <c r="D1294" s="47" t="str">
        <f>VLOOKUP(C1294,'Equalização'!E:J,6,0)</f>
        <v>#N/A</v>
      </c>
    </row>
    <row r="1295" ht="15.75" customHeight="1">
      <c r="C1295" s="47">
        <v>207191.0</v>
      </c>
      <c r="D1295" s="47" t="str">
        <f>VLOOKUP(C1295,'Equalização'!E:J,6,0)</f>
        <v>#N/A</v>
      </c>
    </row>
    <row r="1296" ht="15.75" customHeight="1">
      <c r="C1296" s="47">
        <v>217304.0</v>
      </c>
      <c r="D1296" s="47" t="str">
        <f>VLOOKUP(C1296,'Equalização'!E:J,6,0)</f>
        <v>#N/A</v>
      </c>
    </row>
    <row r="1297" ht="15.75" customHeight="1">
      <c r="C1297" s="47">
        <v>212006.0</v>
      </c>
      <c r="D1297" s="47" t="str">
        <f>VLOOKUP(C1297,'Equalização'!E:J,6,0)</f>
        <v>#N/A</v>
      </c>
    </row>
    <row r="1298" ht="15.75" customHeight="1">
      <c r="C1298" s="47">
        <v>213619.0</v>
      </c>
      <c r="D1298" s="47" t="str">
        <f>VLOOKUP(C1298,'Equalização'!E:J,6,0)</f>
        <v>#N/A</v>
      </c>
    </row>
    <row r="1299" ht="15.75" customHeight="1">
      <c r="C1299" s="47">
        <v>153147.0</v>
      </c>
      <c r="D1299" s="47" t="str">
        <f>VLOOKUP(C1299,'Equalização'!E:J,6,0)</f>
        <v>#N/A</v>
      </c>
    </row>
    <row r="1300" ht="15.75" customHeight="1">
      <c r="C1300" s="47">
        <v>214080.0</v>
      </c>
      <c r="D1300" s="47" t="str">
        <f>VLOOKUP(C1300,'Equalização'!E:J,6,0)</f>
        <v>#N/A</v>
      </c>
    </row>
    <row r="1301" ht="15.75" customHeight="1">
      <c r="C1301" s="47">
        <v>222986.0</v>
      </c>
      <c r="D1301" s="47" t="str">
        <f>VLOOKUP(C1301,'Equalização'!E:J,6,0)</f>
        <v>#N/A</v>
      </c>
    </row>
    <row r="1302" ht="15.75" customHeight="1">
      <c r="C1302" s="47">
        <v>222988.0</v>
      </c>
      <c r="D1302" s="47" t="str">
        <f>VLOOKUP(C1302,'Equalização'!E:J,6,0)</f>
        <v>#N/A</v>
      </c>
    </row>
    <row r="1303" ht="15.75" customHeight="1">
      <c r="C1303" s="47">
        <v>78905.0</v>
      </c>
      <c r="D1303" s="47" t="str">
        <f>VLOOKUP(C1303,'Equalização'!E:J,6,0)</f>
        <v>#N/A</v>
      </c>
    </row>
    <row r="1304" ht="15.75" customHeight="1">
      <c r="C1304" s="47">
        <v>225768.0</v>
      </c>
      <c r="D1304" s="47" t="str">
        <f>VLOOKUP(C1304,'Equalização'!E:J,6,0)</f>
        <v>#N/A</v>
      </c>
    </row>
    <row r="1305" ht="15.75" customHeight="1">
      <c r="C1305" s="47">
        <v>226284.0</v>
      </c>
      <c r="D1305" s="47" t="str">
        <f>VLOOKUP(C1305,'Equalização'!E:J,6,0)</f>
        <v>#N/A</v>
      </c>
    </row>
    <row r="1306" ht="15.75" customHeight="1">
      <c r="C1306" s="47">
        <v>231065.0</v>
      </c>
      <c r="D1306" s="47" t="str">
        <f>VLOOKUP(C1306,'Equalização'!E:J,6,0)</f>
        <v>#N/A</v>
      </c>
    </row>
    <row r="1307" ht="15.75" customHeight="1">
      <c r="C1307" s="47">
        <v>161257.0</v>
      </c>
      <c r="D1307" s="47" t="str">
        <f>VLOOKUP(C1307,'Equalização'!E:J,6,0)</f>
        <v>#N/A</v>
      </c>
    </row>
    <row r="1308" ht="15.75" customHeight="1">
      <c r="C1308" s="47">
        <v>210681.0</v>
      </c>
      <c r="D1308" s="47" t="str">
        <f>VLOOKUP(C1308,'Equalização'!E:J,6,0)</f>
        <v>#N/A</v>
      </c>
    </row>
    <row r="1309" ht="15.75" customHeight="1">
      <c r="C1309" s="47">
        <v>226293.0</v>
      </c>
      <c r="D1309" s="47" t="str">
        <f>VLOOKUP(C1309,'Equalização'!E:J,6,0)</f>
        <v>#N/A</v>
      </c>
    </row>
    <row r="1310" ht="15.75" customHeight="1">
      <c r="C1310" s="47">
        <v>168913.0</v>
      </c>
      <c r="D1310" s="47" t="str">
        <f>VLOOKUP(C1310,'Equalização'!E:J,6,0)</f>
        <v>#N/A</v>
      </c>
    </row>
    <row r="1311" ht="15.75" customHeight="1">
      <c r="C1311" s="47">
        <v>231282.0</v>
      </c>
      <c r="D1311" s="47" t="str">
        <f>VLOOKUP(C1311,'Equalização'!E:J,6,0)</f>
        <v>#N/A</v>
      </c>
    </row>
    <row r="1312" ht="15.75" customHeight="1">
      <c r="C1312" s="47">
        <v>120407.0</v>
      </c>
      <c r="D1312" s="47" t="str">
        <f>VLOOKUP(C1312,'Equalização'!E:J,6,0)</f>
        <v>#N/A</v>
      </c>
    </row>
    <row r="1313" ht="15.75" customHeight="1">
      <c r="C1313" s="47">
        <v>221946.0</v>
      </c>
      <c r="D1313" s="47" t="str">
        <f>VLOOKUP(C1313,'Equalização'!E:J,6,0)</f>
        <v>#N/A</v>
      </c>
    </row>
    <row r="1314" ht="15.75" customHeight="1">
      <c r="C1314" s="47">
        <v>229220.0</v>
      </c>
      <c r="D1314" s="47" t="str">
        <f>VLOOKUP(C1314,'Equalização'!E:J,6,0)</f>
        <v>#N/A</v>
      </c>
    </row>
    <row r="1315" ht="15.75" customHeight="1">
      <c r="C1315" s="47">
        <v>204237.0</v>
      </c>
      <c r="D1315" s="47" t="str">
        <f>VLOOKUP(C1315,'Equalização'!E:J,6,0)</f>
        <v>#N/A</v>
      </c>
    </row>
    <row r="1316" ht="15.75" customHeight="1">
      <c r="C1316" s="47">
        <v>222369.0</v>
      </c>
      <c r="D1316" s="47" t="str">
        <f>VLOOKUP(C1316,'Equalização'!E:J,6,0)</f>
        <v>#N/A</v>
      </c>
    </row>
    <row r="1317" ht="15.75" customHeight="1">
      <c r="C1317" s="47">
        <v>220166.0</v>
      </c>
      <c r="D1317" s="47" t="str">
        <f>VLOOKUP(C1317,'Equalização'!E:J,6,0)</f>
        <v>#N/A</v>
      </c>
    </row>
    <row r="1318" ht="15.75" customHeight="1">
      <c r="C1318" s="47">
        <v>223365.0</v>
      </c>
      <c r="D1318" s="47" t="str">
        <f>VLOOKUP(C1318,'Equalização'!E:J,6,0)</f>
        <v>#N/A</v>
      </c>
    </row>
    <row r="1319" ht="15.75" customHeight="1">
      <c r="C1319" s="47">
        <v>83976.0</v>
      </c>
      <c r="D1319" s="47" t="str">
        <f>VLOOKUP(C1319,'Equalização'!E:J,6,0)</f>
        <v>#N/A</v>
      </c>
    </row>
    <row r="1320" ht="15.75" customHeight="1">
      <c r="C1320" s="47">
        <v>207219.0</v>
      </c>
      <c r="D1320" s="47" t="str">
        <f>VLOOKUP(C1320,'Equalização'!E:J,6,0)</f>
        <v>#N/A</v>
      </c>
    </row>
    <row r="1321" ht="15.75" customHeight="1">
      <c r="C1321" s="47">
        <v>240211.0</v>
      </c>
      <c r="D1321" s="47" t="str">
        <f>VLOOKUP(C1321,'Equalização'!E:J,6,0)</f>
        <v>#N/A</v>
      </c>
    </row>
    <row r="1322" ht="15.75" customHeight="1">
      <c r="C1322" s="47">
        <v>231048.0</v>
      </c>
      <c r="D1322" s="47" t="str">
        <f>VLOOKUP(C1322,'Equalização'!E:J,6,0)</f>
        <v>#N/A</v>
      </c>
    </row>
    <row r="1323" ht="15.75" customHeight="1">
      <c r="C1323" s="47">
        <v>240197.0</v>
      </c>
      <c r="D1323" s="47" t="str">
        <f>VLOOKUP(C1323,'Equalização'!E:J,6,0)</f>
        <v>#N/A</v>
      </c>
    </row>
    <row r="1324" ht="15.75" customHeight="1">
      <c r="C1324" s="47">
        <v>89940.0</v>
      </c>
      <c r="D1324" s="47" t="str">
        <f>VLOOKUP(C1324,'Equalização'!E:J,6,0)</f>
        <v>#N/A</v>
      </c>
    </row>
    <row r="1325" ht="15.75" customHeight="1">
      <c r="C1325" s="47">
        <v>240157.0</v>
      </c>
      <c r="D1325" s="47" t="str">
        <f>VLOOKUP(C1325,'Equalização'!E:J,6,0)</f>
        <v>#N/A</v>
      </c>
    </row>
    <row r="1326" ht="15.75" customHeight="1">
      <c r="C1326" s="47">
        <v>210626.0</v>
      </c>
      <c r="D1326" s="47" t="str">
        <f>VLOOKUP(C1326,'Equalização'!E:J,6,0)</f>
        <v>#N/A</v>
      </c>
    </row>
    <row r="1327" ht="15.75" customHeight="1">
      <c r="C1327" s="47">
        <v>226224.0</v>
      </c>
      <c r="D1327" s="47" t="str">
        <f>VLOOKUP(C1327,'Equalização'!E:J,6,0)</f>
        <v>#N/A</v>
      </c>
    </row>
    <row r="1328" ht="15.75" customHeight="1">
      <c r="C1328" s="47">
        <v>221266.0</v>
      </c>
      <c r="D1328" s="47" t="str">
        <f>VLOOKUP(C1328,'Equalização'!E:J,6,0)</f>
        <v>#N/A</v>
      </c>
    </row>
    <row r="1329" ht="15.75" customHeight="1">
      <c r="C1329" s="47">
        <v>238425.0</v>
      </c>
      <c r="D1329" s="47" t="str">
        <f>VLOOKUP(C1329,'Equalização'!E:J,6,0)</f>
        <v>#N/A</v>
      </c>
    </row>
    <row r="1330" ht="15.75" customHeight="1">
      <c r="C1330" s="47">
        <v>169198.0</v>
      </c>
      <c r="D1330" s="47" t="str">
        <f>VLOOKUP(C1330,'Equalização'!E:J,6,0)</f>
        <v>#N/A</v>
      </c>
    </row>
    <row r="1331" ht="15.75" customHeight="1">
      <c r="C1331" s="47">
        <v>220111.0</v>
      </c>
      <c r="D1331" s="47" t="str">
        <f>VLOOKUP(C1331,'Equalização'!E:J,6,0)</f>
        <v>#N/A</v>
      </c>
    </row>
    <row r="1332" ht="15.75" customHeight="1">
      <c r="C1332" s="47">
        <v>214119.0</v>
      </c>
      <c r="D1332" s="47" t="str">
        <f>VLOOKUP(C1332,'Equalização'!E:J,6,0)</f>
        <v>#N/A</v>
      </c>
    </row>
    <row r="1333" ht="15.75" customHeight="1">
      <c r="C1333" s="47">
        <v>201188.0</v>
      </c>
      <c r="D1333" s="47" t="str">
        <f>VLOOKUP(C1333,'Equalização'!E:J,6,0)</f>
        <v>#N/A</v>
      </c>
    </row>
    <row r="1334" ht="15.75" customHeight="1">
      <c r="C1334" s="47">
        <v>236352.0</v>
      </c>
      <c r="D1334" s="47" t="str">
        <f>VLOOKUP(C1334,'Equalização'!E:J,6,0)</f>
        <v>#N/A</v>
      </c>
    </row>
    <row r="1335" ht="15.75" customHeight="1">
      <c r="C1335" s="47">
        <v>162003.0</v>
      </c>
      <c r="D1335" s="47" t="str">
        <f>VLOOKUP(C1335,'Equalização'!E:J,6,0)</f>
        <v>#N/A</v>
      </c>
    </row>
    <row r="1336" ht="15.75" customHeight="1">
      <c r="C1336" s="47">
        <v>57789.0</v>
      </c>
      <c r="D1336" s="47" t="str">
        <f>VLOOKUP(C1336,'Equalização'!E:J,6,0)</f>
        <v>#N/A</v>
      </c>
    </row>
    <row r="1337" ht="15.75" customHeight="1">
      <c r="C1337" s="47">
        <v>207764.0</v>
      </c>
      <c r="D1337" s="47" t="str">
        <f>VLOOKUP(C1337,'Equalização'!E:J,6,0)</f>
        <v>#N/A</v>
      </c>
    </row>
    <row r="1338" ht="15.75" customHeight="1">
      <c r="C1338" s="47">
        <v>210946.0</v>
      </c>
      <c r="D1338" s="47" t="str">
        <f>VLOOKUP(C1338,'Equalização'!E:J,6,0)</f>
        <v>#N/A</v>
      </c>
    </row>
    <row r="1339" ht="15.75" customHeight="1">
      <c r="C1339" s="47">
        <v>213138.0</v>
      </c>
      <c r="D1339" s="47" t="str">
        <f>VLOOKUP(C1339,'Equalização'!E:J,6,0)</f>
        <v>#N/A</v>
      </c>
    </row>
    <row r="1340" ht="15.75" customHeight="1">
      <c r="C1340" s="47">
        <v>240045.0</v>
      </c>
      <c r="D1340" s="47" t="str">
        <f>VLOOKUP(C1340,'Equalização'!E:J,6,0)</f>
        <v>#N/A</v>
      </c>
    </row>
    <row r="1341" ht="15.75" customHeight="1">
      <c r="C1341" s="47">
        <v>149811.0</v>
      </c>
      <c r="D1341" s="47" t="str">
        <f>VLOOKUP(C1341,'Equalização'!E:J,6,0)</f>
        <v>#N/A</v>
      </c>
    </row>
    <row r="1342" ht="15.75" customHeight="1">
      <c r="C1342" s="47">
        <v>214939.0</v>
      </c>
      <c r="D1342" s="47" t="str">
        <f>VLOOKUP(C1342,'Equalização'!E:J,6,0)</f>
        <v>#N/A</v>
      </c>
    </row>
    <row r="1343" ht="15.75" customHeight="1">
      <c r="C1343" s="47">
        <v>213018.0</v>
      </c>
      <c r="D1343" s="47" t="str">
        <f>VLOOKUP(C1343,'Equalização'!E:J,6,0)</f>
        <v>#N/A</v>
      </c>
    </row>
    <row r="1344" ht="15.75" customHeight="1">
      <c r="C1344" s="47">
        <v>213007.0</v>
      </c>
      <c r="D1344" s="47" t="str">
        <f>VLOOKUP(C1344,'Equalização'!E:J,6,0)</f>
        <v>#N/A</v>
      </c>
    </row>
    <row r="1345" ht="15.75" customHeight="1">
      <c r="C1345" s="47">
        <v>211675.0</v>
      </c>
      <c r="D1345" s="47" t="str">
        <f>VLOOKUP(C1345,'Equalização'!E:J,6,0)</f>
        <v>#N/A</v>
      </c>
    </row>
    <row r="1346" ht="15.75" customHeight="1">
      <c r="C1346" s="47">
        <v>225731.0</v>
      </c>
      <c r="D1346" s="47" t="str">
        <f>VLOOKUP(C1346,'Equalização'!E:J,6,0)</f>
        <v>#N/A</v>
      </c>
    </row>
    <row r="1347" ht="15.75" customHeight="1">
      <c r="C1347" s="47">
        <v>190980.0</v>
      </c>
      <c r="D1347" s="47" t="str">
        <f>VLOOKUP(C1347,'Equalização'!E:J,6,0)</f>
        <v>#N/A</v>
      </c>
    </row>
    <row r="1348" ht="15.75" customHeight="1">
      <c r="C1348" s="47">
        <v>221245.0</v>
      </c>
      <c r="D1348" s="47" t="str">
        <f>VLOOKUP(C1348,'Equalização'!E:J,6,0)</f>
        <v>#N/A</v>
      </c>
    </row>
    <row r="1349" ht="15.75" customHeight="1">
      <c r="C1349" s="47">
        <v>185903.0</v>
      </c>
      <c r="D1349" s="47" t="str">
        <f>VLOOKUP(C1349,'Equalização'!E:J,6,0)</f>
        <v>#N/A</v>
      </c>
    </row>
    <row r="1350" ht="15.75" customHeight="1">
      <c r="C1350" s="47">
        <v>225560.0</v>
      </c>
      <c r="D1350" s="47" t="str">
        <f>VLOOKUP(C1350,'Equalização'!E:J,6,0)</f>
        <v>#N/A</v>
      </c>
    </row>
    <row r="1351" ht="15.75" customHeight="1">
      <c r="C1351" s="47">
        <v>206099.0</v>
      </c>
      <c r="D1351" s="47" t="str">
        <f>VLOOKUP(C1351,'Equalização'!E:J,6,0)</f>
        <v>#N/A</v>
      </c>
    </row>
    <row r="1352" ht="15.75" customHeight="1">
      <c r="C1352" s="47">
        <v>227729.0</v>
      </c>
      <c r="D1352" s="47" t="str">
        <f>VLOOKUP(C1352,'Equalização'!E:J,6,0)</f>
        <v>#N/A</v>
      </c>
    </row>
    <row r="1353" ht="15.75" customHeight="1">
      <c r="C1353" s="47">
        <v>221261.0</v>
      </c>
      <c r="D1353" s="47" t="str">
        <f>VLOOKUP(C1353,'Equalização'!E:J,6,0)</f>
        <v>#N/A</v>
      </c>
    </row>
    <row r="1354" ht="15.75" customHeight="1">
      <c r="C1354" s="47">
        <v>225690.0</v>
      </c>
      <c r="D1354" s="47" t="str">
        <f>VLOOKUP(C1354,'Equalização'!E:J,6,0)</f>
        <v>#N/A</v>
      </c>
    </row>
    <row r="1355" ht="15.75" customHeight="1">
      <c r="C1355" s="47">
        <v>230891.0</v>
      </c>
      <c r="D1355" s="47" t="str">
        <f>VLOOKUP(C1355,'Equalização'!E:J,6,0)</f>
        <v>#N/A</v>
      </c>
    </row>
    <row r="1356" ht="15.75" customHeight="1">
      <c r="C1356" s="47">
        <v>238886.0</v>
      </c>
      <c r="D1356" s="47" t="str">
        <f>VLOOKUP(C1356,'Equalização'!E:J,6,0)</f>
        <v>#N/A</v>
      </c>
    </row>
    <row r="1357" ht="15.75" customHeight="1">
      <c r="C1357" s="47">
        <v>236960.0</v>
      </c>
      <c r="D1357" s="47" t="str">
        <f>VLOOKUP(C1357,'Equalização'!E:J,6,0)</f>
        <v>#N/A</v>
      </c>
    </row>
    <row r="1358" ht="15.75" customHeight="1">
      <c r="C1358" s="47">
        <v>231064.0</v>
      </c>
      <c r="D1358" s="47" t="str">
        <f>VLOOKUP(C1358,'Equalização'!E:J,6,0)</f>
        <v>#N/A</v>
      </c>
    </row>
    <row r="1359" ht="15.75" customHeight="1">
      <c r="C1359" s="47">
        <v>185678.0</v>
      </c>
      <c r="D1359" s="47" t="str">
        <f>VLOOKUP(C1359,'Equalização'!E:J,6,0)</f>
        <v>#N/A</v>
      </c>
    </row>
    <row r="1360" ht="15.75" customHeight="1">
      <c r="C1360" s="47">
        <v>207212.0</v>
      </c>
      <c r="D1360" s="47" t="str">
        <f>VLOOKUP(C1360,'Equalização'!E:J,6,0)</f>
        <v>#N/A</v>
      </c>
    </row>
    <row r="1361" ht="15.75" customHeight="1">
      <c r="C1361" s="47">
        <v>220165.0</v>
      </c>
      <c r="D1361" s="47" t="str">
        <f>VLOOKUP(C1361,'Equalização'!E:J,6,0)</f>
        <v>#N/A</v>
      </c>
    </row>
    <row r="1362" ht="15.75" customHeight="1">
      <c r="C1362" s="47">
        <v>211587.0</v>
      </c>
      <c r="D1362" s="47" t="str">
        <f>VLOOKUP(C1362,'Equalização'!E:J,6,0)</f>
        <v>#N/A</v>
      </c>
    </row>
    <row r="1363" ht="15.75" customHeight="1">
      <c r="C1363" s="47">
        <v>154595.0</v>
      </c>
      <c r="D1363" s="47" t="str">
        <f>VLOOKUP(C1363,'Equalização'!E:J,6,0)</f>
        <v>#N/A</v>
      </c>
    </row>
    <row r="1364" ht="15.75" customHeight="1">
      <c r="C1364" s="47">
        <v>221425.0</v>
      </c>
      <c r="D1364" s="47" t="str">
        <f>VLOOKUP(C1364,'Equalização'!E:J,6,0)</f>
        <v>#N/A</v>
      </c>
    </row>
    <row r="1365" ht="15.75" customHeight="1">
      <c r="C1365" s="47">
        <v>213104.0</v>
      </c>
      <c r="D1365" s="47" t="str">
        <f>VLOOKUP(C1365,'Equalização'!E:J,6,0)</f>
        <v>#N/A</v>
      </c>
    </row>
    <row r="1366" ht="15.75" customHeight="1">
      <c r="C1366" s="47">
        <v>213540.0</v>
      </c>
      <c r="D1366" s="47" t="str">
        <f>VLOOKUP(C1366,'Equalização'!E:J,6,0)</f>
        <v>#N/A</v>
      </c>
    </row>
    <row r="1367" ht="15.75" customHeight="1">
      <c r="C1367" s="47">
        <v>225740.0</v>
      </c>
      <c r="D1367" s="47" t="str">
        <f>VLOOKUP(C1367,'Equalização'!E:J,6,0)</f>
        <v>#N/A</v>
      </c>
    </row>
    <row r="1368" ht="15.75" customHeight="1">
      <c r="C1368" s="47">
        <v>221258.0</v>
      </c>
      <c r="D1368" s="47" t="str">
        <f>VLOOKUP(C1368,'Equalização'!E:J,6,0)</f>
        <v>#N/A</v>
      </c>
    </row>
    <row r="1369" ht="15.75" customHeight="1">
      <c r="C1369" s="47">
        <v>207794.0</v>
      </c>
      <c r="D1369" s="47" t="str">
        <f>VLOOKUP(C1369,'Equalização'!E:J,6,0)</f>
        <v>#N/A</v>
      </c>
    </row>
    <row r="1370" ht="15.75" customHeight="1">
      <c r="C1370" s="47">
        <v>218094.0</v>
      </c>
      <c r="D1370" s="47" t="str">
        <f>VLOOKUP(C1370,'Equalização'!E:J,6,0)</f>
        <v>#N/A</v>
      </c>
    </row>
    <row r="1371" ht="15.75" customHeight="1">
      <c r="C1371" s="47">
        <v>238435.0</v>
      </c>
      <c r="D1371" s="47" t="str">
        <f>VLOOKUP(C1371,'Equalização'!E:J,6,0)</f>
        <v>#N/A</v>
      </c>
    </row>
    <row r="1372" ht="15.75" customHeight="1">
      <c r="C1372" s="47">
        <v>222463.0</v>
      </c>
      <c r="D1372" s="47" t="str">
        <f>VLOOKUP(C1372,'Equalização'!E:J,6,0)</f>
        <v>#N/A</v>
      </c>
    </row>
    <row r="1373" ht="15.75" customHeight="1">
      <c r="C1373" s="47">
        <v>230848.0</v>
      </c>
      <c r="D1373" s="47" t="str">
        <f>VLOOKUP(C1373,'Equalização'!E:J,6,0)</f>
        <v>#N/A</v>
      </c>
    </row>
    <row r="1374" ht="15.75" customHeight="1">
      <c r="C1374" s="47">
        <v>207533.0</v>
      </c>
      <c r="D1374" s="47" t="str">
        <f>VLOOKUP(C1374,'Equalização'!E:J,6,0)</f>
        <v>#N/A</v>
      </c>
    </row>
    <row r="1375" ht="15.75" customHeight="1">
      <c r="C1375" s="47">
        <v>214071.0</v>
      </c>
      <c r="D1375" s="47" t="str">
        <f>VLOOKUP(C1375,'Equalização'!E:J,6,0)</f>
        <v>#N/A</v>
      </c>
    </row>
    <row r="1376" ht="15.75" customHeight="1">
      <c r="C1376" s="47">
        <v>213127.0</v>
      </c>
      <c r="D1376" s="47" t="str">
        <f>VLOOKUP(C1376,'Equalização'!E:J,6,0)</f>
        <v>#N/A</v>
      </c>
    </row>
    <row r="1377" ht="15.75" customHeight="1">
      <c r="C1377" s="47">
        <v>226174.0</v>
      </c>
      <c r="D1377" s="47" t="str">
        <f>VLOOKUP(C1377,'Equalização'!E:J,6,0)</f>
        <v>#N/A</v>
      </c>
    </row>
    <row r="1378" ht="15.75" customHeight="1">
      <c r="C1378" s="47">
        <v>226175.0</v>
      </c>
      <c r="D1378" s="47" t="str">
        <f>VLOOKUP(C1378,'Equalização'!E:J,6,0)</f>
        <v>#N/A</v>
      </c>
    </row>
    <row r="1379" ht="15.75" customHeight="1">
      <c r="C1379" s="47">
        <v>227737.0</v>
      </c>
      <c r="D1379" s="47" t="str">
        <f>VLOOKUP(C1379,'Equalização'!E:J,6,0)</f>
        <v>#N/A</v>
      </c>
    </row>
    <row r="1380" ht="15.75" customHeight="1">
      <c r="C1380" s="47">
        <v>225735.0</v>
      </c>
      <c r="D1380" s="47" t="str">
        <f>VLOOKUP(C1380,'Equalização'!E:J,6,0)</f>
        <v>#N/A</v>
      </c>
    </row>
    <row r="1381" ht="15.75" customHeight="1">
      <c r="C1381" s="47">
        <v>212021.0</v>
      </c>
      <c r="D1381" s="47" t="str">
        <f>VLOOKUP(C1381,'Equalização'!E:J,6,0)</f>
        <v>#N/A</v>
      </c>
    </row>
    <row r="1382" ht="15.75" customHeight="1">
      <c r="C1382" s="47">
        <v>153197.0</v>
      </c>
      <c r="D1382" s="47" t="str">
        <f>VLOOKUP(C1382,'Equalização'!E:J,6,0)</f>
        <v>#N/A</v>
      </c>
    </row>
    <row r="1383" ht="15.75" customHeight="1">
      <c r="C1383" s="47">
        <v>213227.0</v>
      </c>
      <c r="D1383" s="47" t="str">
        <f>VLOOKUP(C1383,'Equalização'!E:J,6,0)</f>
        <v>#N/A</v>
      </c>
    </row>
    <row r="1384" ht="15.75" customHeight="1">
      <c r="C1384" s="47">
        <v>141471.0</v>
      </c>
      <c r="D1384" s="47" t="str">
        <f>VLOOKUP(C1384,'Equalização'!E:J,6,0)</f>
        <v>#N/A</v>
      </c>
    </row>
    <row r="1385" ht="15.75" customHeight="1">
      <c r="C1385" s="47">
        <v>204713.0</v>
      </c>
      <c r="D1385" s="47" t="str">
        <f>VLOOKUP(C1385,'Equalização'!E:J,6,0)</f>
        <v>#N/A</v>
      </c>
    </row>
    <row r="1386" ht="15.75" customHeight="1">
      <c r="C1386" s="47">
        <v>187074.0</v>
      </c>
      <c r="D1386" s="47" t="str">
        <f>VLOOKUP(C1386,'Equalização'!E:J,6,0)</f>
        <v>#N/A</v>
      </c>
    </row>
    <row r="1387" ht="15.75" customHeight="1">
      <c r="C1387" s="47">
        <v>160512.0</v>
      </c>
      <c r="D1387" s="47" t="str">
        <f>VLOOKUP(C1387,'Equalização'!E:J,6,0)</f>
        <v>#N/A</v>
      </c>
    </row>
    <row r="1388" ht="15.75" customHeight="1">
      <c r="C1388" s="47">
        <v>225708.0</v>
      </c>
      <c r="D1388" s="47" t="str">
        <f>VLOOKUP(C1388,'Equalização'!E:J,6,0)</f>
        <v>#N/A</v>
      </c>
    </row>
    <row r="1389" ht="15.75" customHeight="1">
      <c r="C1389" s="47">
        <v>227762.0</v>
      </c>
      <c r="D1389" s="47" t="str">
        <f>VLOOKUP(C1389,'Equalização'!E:J,6,0)</f>
        <v>#N/A</v>
      </c>
    </row>
    <row r="1390" ht="15.75" customHeight="1">
      <c r="C1390" s="47">
        <v>225995.0</v>
      </c>
      <c r="D1390" s="47" t="str">
        <f>VLOOKUP(C1390,'Equalização'!E:J,6,0)</f>
        <v>#N/A</v>
      </c>
    </row>
    <row r="1391" ht="15.75" customHeight="1">
      <c r="C1391" s="47">
        <v>225688.0</v>
      </c>
      <c r="D1391" s="47" t="str">
        <f>VLOOKUP(C1391,'Equalização'!E:J,6,0)</f>
        <v>#N/A</v>
      </c>
    </row>
    <row r="1392" ht="15.75" customHeight="1">
      <c r="C1392" s="47">
        <v>223678.0</v>
      </c>
      <c r="D1392" s="47" t="str">
        <f>VLOOKUP(C1392,'Equalização'!E:J,6,0)</f>
        <v>#N/A</v>
      </c>
    </row>
    <row r="1393" ht="15.75" customHeight="1">
      <c r="C1393" s="47">
        <v>55581.0</v>
      </c>
      <c r="D1393" s="47" t="str">
        <f>VLOOKUP(C1393,'Equalização'!E:J,6,0)</f>
        <v>#N/A</v>
      </c>
    </row>
    <row r="1394" ht="15.75" customHeight="1">
      <c r="C1394" s="47">
        <v>211726.0</v>
      </c>
      <c r="D1394" s="47" t="str">
        <f>VLOOKUP(C1394,'Equalização'!E:J,6,0)</f>
        <v>#N/A</v>
      </c>
    </row>
    <row r="1395" ht="15.75" customHeight="1">
      <c r="C1395" s="47">
        <v>166059.0</v>
      </c>
      <c r="D1395" s="47" t="str">
        <f>VLOOKUP(C1395,'Equalização'!E:J,6,0)</f>
        <v>#N/A</v>
      </c>
    </row>
    <row r="1396" ht="15.75" customHeight="1">
      <c r="C1396" s="47">
        <v>220175.0</v>
      </c>
      <c r="D1396" s="47" t="str">
        <f>VLOOKUP(C1396,'Equalização'!E:J,6,0)</f>
        <v>#N/A</v>
      </c>
    </row>
    <row r="1397" ht="15.75" customHeight="1">
      <c r="C1397" s="47">
        <v>240600.0</v>
      </c>
      <c r="D1397" s="47" t="str">
        <f>VLOOKUP(C1397,'Equalização'!E:J,6,0)</f>
        <v>#N/A</v>
      </c>
    </row>
    <row r="1398" ht="15.75" customHeight="1">
      <c r="C1398" s="47">
        <v>224096.0</v>
      </c>
      <c r="D1398" s="47" t="str">
        <f>VLOOKUP(C1398,'Equalização'!E:J,6,0)</f>
        <v>#N/A</v>
      </c>
    </row>
    <row r="1399" ht="15.75" customHeight="1">
      <c r="C1399" s="47">
        <v>207213.0</v>
      </c>
      <c r="D1399" s="47" t="str">
        <f>VLOOKUP(C1399,'Equalização'!E:J,6,0)</f>
        <v>#N/A</v>
      </c>
    </row>
    <row r="1400" ht="15.75" customHeight="1">
      <c r="C1400" s="47">
        <v>225707.0</v>
      </c>
      <c r="D1400" s="47" t="str">
        <f>VLOOKUP(C1400,'Equalização'!E:J,6,0)</f>
        <v>#N/A</v>
      </c>
    </row>
    <row r="1401" ht="15.75" customHeight="1">
      <c r="C1401" s="47">
        <v>240432.0</v>
      </c>
      <c r="D1401" s="47" t="str">
        <f>VLOOKUP(C1401,'Equalização'!E:J,6,0)</f>
        <v>#N/A</v>
      </c>
    </row>
    <row r="1402" ht="15.75" customHeight="1">
      <c r="C1402" s="47">
        <v>227739.0</v>
      </c>
      <c r="D1402" s="47" t="str">
        <f>VLOOKUP(C1402,'Equalização'!E:J,6,0)</f>
        <v>#N/A</v>
      </c>
    </row>
    <row r="1403" ht="15.75" customHeight="1">
      <c r="C1403" s="47">
        <v>225739.0</v>
      </c>
      <c r="D1403" s="47" t="str">
        <f>VLOOKUP(C1403,'Equalização'!E:J,6,0)</f>
        <v>#N/A</v>
      </c>
    </row>
    <row r="1404" ht="15.75" customHeight="1">
      <c r="C1404" s="47">
        <v>218554.0</v>
      </c>
      <c r="D1404" s="47" t="str">
        <f>VLOOKUP(C1404,'Equalização'!E:J,6,0)</f>
        <v>#N/A</v>
      </c>
    </row>
    <row r="1405" ht="15.75" customHeight="1">
      <c r="C1405" s="47">
        <v>226506.0</v>
      </c>
      <c r="D1405" s="47" t="str">
        <f>VLOOKUP(C1405,'Equalização'!E:J,6,0)</f>
        <v>#N/A</v>
      </c>
    </row>
    <row r="1406" ht="15.75" customHeight="1">
      <c r="C1406" s="47">
        <v>207416.0</v>
      </c>
      <c r="D1406" s="47" t="str">
        <f>VLOOKUP(C1406,'Equalização'!E:J,6,0)</f>
        <v>#N/A</v>
      </c>
    </row>
    <row r="1407" ht="15.75" customHeight="1">
      <c r="C1407" s="47">
        <v>208015.0</v>
      </c>
      <c r="D1407" s="47" t="str">
        <f>VLOOKUP(C1407,'Equalização'!E:J,6,0)</f>
        <v>#N/A</v>
      </c>
    </row>
    <row r="1408" ht="15.75" customHeight="1">
      <c r="C1408" s="47">
        <v>176961.0</v>
      </c>
      <c r="D1408" s="47" t="str">
        <f>VLOOKUP(C1408,'Equalização'!E:J,6,0)</f>
        <v>#N/A</v>
      </c>
    </row>
    <row r="1409" ht="15.75" customHeight="1">
      <c r="C1409" s="47">
        <v>212990.0</v>
      </c>
      <c r="D1409" s="47" t="str">
        <f>VLOOKUP(C1409,'Equalização'!E:J,6,0)</f>
        <v>#N/A</v>
      </c>
    </row>
    <row r="1410" ht="15.75" customHeight="1">
      <c r="C1410" s="47">
        <v>231106.0</v>
      </c>
      <c r="D1410" s="47" t="str">
        <f>VLOOKUP(C1410,'Equalização'!E:J,6,0)</f>
        <v>#N/A</v>
      </c>
    </row>
    <row r="1411" ht="15.75" customHeight="1">
      <c r="C1411" s="47">
        <v>225924.0</v>
      </c>
      <c r="D1411" s="47" t="str">
        <f>VLOOKUP(C1411,'Equalização'!E:J,6,0)</f>
        <v>#N/A</v>
      </c>
    </row>
    <row r="1412" ht="15.75" customHeight="1">
      <c r="C1412" s="47">
        <v>210596.0</v>
      </c>
      <c r="D1412" s="47" t="str">
        <f>VLOOKUP(C1412,'Equalização'!E:J,6,0)</f>
        <v>#N/A</v>
      </c>
    </row>
    <row r="1413" ht="15.75" customHeight="1">
      <c r="C1413" s="47">
        <v>210597.0</v>
      </c>
      <c r="D1413" s="47" t="str">
        <f>VLOOKUP(C1413,'Equalização'!E:J,6,0)</f>
        <v>#N/A</v>
      </c>
    </row>
    <row r="1414" ht="15.75" customHeight="1">
      <c r="C1414" s="47">
        <v>225532.0</v>
      </c>
      <c r="D1414" s="47" t="str">
        <f>VLOOKUP(C1414,'Equalização'!E:J,6,0)</f>
        <v>#N/A</v>
      </c>
    </row>
    <row r="1415" ht="15.75" customHeight="1">
      <c r="C1415" s="47">
        <v>240192.0</v>
      </c>
      <c r="D1415" s="47" t="str">
        <f>VLOOKUP(C1415,'Equalização'!E:J,6,0)</f>
        <v>#N/A</v>
      </c>
    </row>
    <row r="1416" ht="15.75" customHeight="1">
      <c r="C1416" s="47">
        <v>221260.0</v>
      </c>
      <c r="D1416" s="47" t="str">
        <f>VLOOKUP(C1416,'Equalização'!E:J,6,0)</f>
        <v>#N/A</v>
      </c>
    </row>
    <row r="1417" ht="15.75" customHeight="1">
      <c r="C1417" s="47">
        <v>221274.0</v>
      </c>
      <c r="D1417" s="47" t="str">
        <f>VLOOKUP(C1417,'Equalização'!E:J,6,0)</f>
        <v>#N/A</v>
      </c>
    </row>
    <row r="1418" ht="15.75" customHeight="1">
      <c r="C1418" s="47">
        <v>213862.0</v>
      </c>
      <c r="D1418" s="47" t="str">
        <f>VLOOKUP(C1418,'Equalização'!E:J,6,0)</f>
        <v>#N/A</v>
      </c>
    </row>
    <row r="1419" ht="15.75" customHeight="1">
      <c r="C1419" s="47">
        <v>206013.0</v>
      </c>
      <c r="D1419" s="47" t="str">
        <f>VLOOKUP(C1419,'Equalização'!E:J,6,0)</f>
        <v>#N/A</v>
      </c>
    </row>
    <row r="1420" ht="15.75" customHeight="1">
      <c r="C1420" s="47">
        <v>223375.0</v>
      </c>
      <c r="D1420" s="47" t="str">
        <f>VLOOKUP(C1420,'Equalização'!E:J,6,0)</f>
        <v>#N/A</v>
      </c>
    </row>
    <row r="1421" ht="15.75" customHeight="1">
      <c r="C1421" s="47">
        <v>236090.0</v>
      </c>
      <c r="D1421" s="47" t="str">
        <f>VLOOKUP(C1421,'Equalização'!E:J,6,0)</f>
        <v>#N/A</v>
      </c>
    </row>
    <row r="1422" ht="15.75" customHeight="1">
      <c r="C1422" s="47">
        <v>229581.0</v>
      </c>
      <c r="D1422" s="47" t="str">
        <f>VLOOKUP(C1422,'Equalização'!E:J,6,0)</f>
        <v>#N/A</v>
      </c>
    </row>
    <row r="1423" ht="15.75" customHeight="1">
      <c r="C1423" s="47">
        <v>227742.0</v>
      </c>
      <c r="D1423" s="47" t="str">
        <f>VLOOKUP(C1423,'Equalização'!E:J,6,0)</f>
        <v>#N/A</v>
      </c>
    </row>
    <row r="1424" ht="15.75" customHeight="1">
      <c r="C1424" s="47">
        <v>206043.0</v>
      </c>
      <c r="D1424" s="47" t="str">
        <f>VLOOKUP(C1424,'Equalização'!E:J,6,0)</f>
        <v>#N/A</v>
      </c>
    </row>
    <row r="1425" ht="15.75" customHeight="1">
      <c r="C1425" s="47">
        <v>161999.0</v>
      </c>
      <c r="D1425" s="47" t="str">
        <f>VLOOKUP(C1425,'Equalização'!E:J,6,0)</f>
        <v>#N/A</v>
      </c>
    </row>
    <row r="1426" ht="15.75" customHeight="1">
      <c r="C1426" s="47">
        <v>65714.0</v>
      </c>
      <c r="D1426" s="47" t="str">
        <f>VLOOKUP(C1426,'Equalização'!E:J,6,0)</f>
        <v>#N/A</v>
      </c>
    </row>
    <row r="1427" ht="15.75" customHeight="1">
      <c r="C1427" s="47">
        <v>221262.0</v>
      </c>
      <c r="D1427" s="47" t="str">
        <f>VLOOKUP(C1427,'Equalização'!E:J,6,0)</f>
        <v>#N/A</v>
      </c>
    </row>
    <row r="1428" ht="15.75" customHeight="1">
      <c r="C1428" s="47">
        <v>221263.0</v>
      </c>
      <c r="D1428" s="47" t="str">
        <f>VLOOKUP(C1428,'Equalização'!E:J,6,0)</f>
        <v>#N/A</v>
      </c>
    </row>
    <row r="1429" ht="15.75" customHeight="1">
      <c r="C1429" s="47">
        <v>236024.0</v>
      </c>
      <c r="D1429" s="47" t="str">
        <f>VLOOKUP(C1429,'Equalização'!E:J,6,0)</f>
        <v>#N/A</v>
      </c>
    </row>
    <row r="1430" ht="15.75" customHeight="1">
      <c r="C1430" s="47">
        <v>155182.0</v>
      </c>
      <c r="D1430" s="47" t="str">
        <f>VLOOKUP(C1430,'Equalização'!E:J,6,0)</f>
        <v>#N/A</v>
      </c>
    </row>
    <row r="1431" ht="15.75" customHeight="1">
      <c r="C1431" s="47">
        <v>228623.0</v>
      </c>
      <c r="D1431" s="47" t="str">
        <f>VLOOKUP(C1431,'Equalização'!E:J,6,0)</f>
        <v>#N/A</v>
      </c>
    </row>
    <row r="1432" ht="15.75" customHeight="1">
      <c r="C1432" s="47">
        <v>122062.0</v>
      </c>
      <c r="D1432" s="47" t="str">
        <f>VLOOKUP(C1432,'Equalização'!E:J,6,0)</f>
        <v>#N/A</v>
      </c>
    </row>
    <row r="1433" ht="15.75" customHeight="1">
      <c r="C1433" s="47">
        <v>214072.0</v>
      </c>
      <c r="D1433" s="47" t="str">
        <f>VLOOKUP(C1433,'Equalização'!E:J,6,0)</f>
        <v>#N/A</v>
      </c>
    </row>
    <row r="1434" ht="15.75" customHeight="1">
      <c r="C1434" s="47">
        <v>214117.0</v>
      </c>
      <c r="D1434" s="47" t="str">
        <f>VLOOKUP(C1434,'Equalização'!E:J,6,0)</f>
        <v>#N/A</v>
      </c>
    </row>
    <row r="1435" ht="15.75" customHeight="1">
      <c r="C1435" s="47">
        <v>214203.0</v>
      </c>
      <c r="D1435" s="47" t="str">
        <f>VLOOKUP(C1435,'Equalização'!E:J,6,0)</f>
        <v>#N/A</v>
      </c>
    </row>
    <row r="1436" ht="15.75" customHeight="1">
      <c r="C1436" s="47">
        <v>222775.0</v>
      </c>
      <c r="D1436" s="47" t="str">
        <f>VLOOKUP(C1436,'Equalização'!E:J,6,0)</f>
        <v>#N/A</v>
      </c>
    </row>
    <row r="1437" ht="15.75" customHeight="1">
      <c r="C1437" s="47">
        <v>238591.0</v>
      </c>
      <c r="D1437" s="47" t="str">
        <f>VLOOKUP(C1437,'Equalização'!E:J,6,0)</f>
        <v>#N/A</v>
      </c>
    </row>
    <row r="1438" ht="15.75" customHeight="1">
      <c r="C1438" s="47">
        <v>75469.0</v>
      </c>
      <c r="D1438" s="47" t="str">
        <f>VLOOKUP(C1438,'Equalização'!E:J,6,0)</f>
        <v>#N/A</v>
      </c>
    </row>
    <row r="1439" ht="15.75" customHeight="1">
      <c r="C1439" s="47">
        <v>173908.0</v>
      </c>
      <c r="D1439" s="47" t="str">
        <f>VLOOKUP(C1439,'Equalização'!E:J,6,0)</f>
        <v>#N/A</v>
      </c>
    </row>
    <row r="1440" ht="15.75" customHeight="1">
      <c r="C1440" s="47">
        <v>240346.0</v>
      </c>
      <c r="D1440" s="47" t="str">
        <f>VLOOKUP(C1440,'Equalização'!E:J,6,0)</f>
        <v>#N/A</v>
      </c>
    </row>
    <row r="1441" ht="15.75" customHeight="1">
      <c r="C1441" s="47">
        <v>207804.0</v>
      </c>
      <c r="D1441" s="47" t="str">
        <f>VLOOKUP(C1441,'Equalização'!E:J,6,0)</f>
        <v>#N/A</v>
      </c>
    </row>
    <row r="1442" ht="15.75" customHeight="1">
      <c r="C1442" s="47">
        <v>212579.0</v>
      </c>
      <c r="D1442" s="47" t="str">
        <f>VLOOKUP(C1442,'Equalização'!E:J,6,0)</f>
        <v>#N/A</v>
      </c>
    </row>
    <row r="1443" ht="15.75" customHeight="1">
      <c r="C1443" s="47">
        <v>221170.0</v>
      </c>
      <c r="D1443" s="47" t="str">
        <f>VLOOKUP(C1443,'Equalização'!E:J,6,0)</f>
        <v>#N/A</v>
      </c>
    </row>
    <row r="1444" ht="15.75" customHeight="1">
      <c r="C1444" s="47">
        <v>236096.0</v>
      </c>
      <c r="D1444" s="47" t="str">
        <f>VLOOKUP(C1444,'Equalização'!E:J,6,0)</f>
        <v>#N/A</v>
      </c>
    </row>
    <row r="1445" ht="15.75" customHeight="1">
      <c r="C1445" s="47">
        <v>205902.0</v>
      </c>
      <c r="D1445" s="47" t="str">
        <f>VLOOKUP(C1445,'Equalização'!E:J,6,0)</f>
        <v>#N/A</v>
      </c>
    </row>
    <row r="1446" ht="15.75" customHeight="1">
      <c r="C1446" s="47">
        <v>206015.0</v>
      </c>
      <c r="D1446" s="47" t="str">
        <f>VLOOKUP(C1446,'Equalização'!E:J,6,0)</f>
        <v>#N/A</v>
      </c>
    </row>
    <row r="1447" ht="15.75" customHeight="1">
      <c r="C1447" s="47">
        <v>213049.0</v>
      </c>
      <c r="D1447" s="47" t="str">
        <f>VLOOKUP(C1447,'Equalização'!E:J,6,0)</f>
        <v>#N/A</v>
      </c>
    </row>
    <row r="1448" ht="15.75" customHeight="1">
      <c r="C1448" s="47">
        <v>236097.0</v>
      </c>
      <c r="D1448" s="47" t="str">
        <f>VLOOKUP(C1448,'Equalização'!E:J,6,0)</f>
        <v>#N/A</v>
      </c>
    </row>
    <row r="1449" ht="15.75" customHeight="1">
      <c r="C1449" s="47">
        <v>207820.0</v>
      </c>
      <c r="D1449" s="47" t="str">
        <f>VLOOKUP(C1449,'Equalização'!E:J,6,0)</f>
        <v>#N/A</v>
      </c>
    </row>
    <row r="1450" ht="15.75" customHeight="1">
      <c r="C1450" s="47">
        <v>225779.0</v>
      </c>
      <c r="D1450" s="47" t="str">
        <f>VLOOKUP(C1450,'Equalização'!E:J,6,0)</f>
        <v>#N/A</v>
      </c>
    </row>
    <row r="1451" ht="15.75" customHeight="1">
      <c r="C1451" s="47">
        <v>231090.0</v>
      </c>
      <c r="D1451" s="47" t="str">
        <f>VLOOKUP(C1451,'Equalização'!E:J,6,0)</f>
        <v>#N/A</v>
      </c>
    </row>
    <row r="1452" ht="15.75" customHeight="1">
      <c r="C1452" s="47">
        <v>126123.0</v>
      </c>
      <c r="D1452" s="47" t="str">
        <f>VLOOKUP(C1452,'Equalização'!E:J,6,0)</f>
        <v>#N/A</v>
      </c>
    </row>
    <row r="1453" ht="15.75" customHeight="1">
      <c r="C1453" s="47">
        <v>230889.0</v>
      </c>
      <c r="D1453" s="47" t="str">
        <f>VLOOKUP(C1453,'Equalização'!E:J,6,0)</f>
        <v>#N/A</v>
      </c>
    </row>
    <row r="1454" ht="15.75" customHeight="1">
      <c r="C1454" s="47">
        <v>231050.0</v>
      </c>
      <c r="D1454" s="47" t="str">
        <f>VLOOKUP(C1454,'Equalização'!E:J,6,0)</f>
        <v>#N/A</v>
      </c>
    </row>
    <row r="1455" ht="15.75" customHeight="1">
      <c r="C1455" s="47">
        <v>213251.0</v>
      </c>
      <c r="D1455" s="47" t="str">
        <f>VLOOKUP(C1455,'Equalização'!E:J,6,0)</f>
        <v>#N/A</v>
      </c>
    </row>
    <row r="1456" ht="15.75" customHeight="1">
      <c r="C1456" s="47">
        <v>185682.0</v>
      </c>
      <c r="D1456" s="47" t="str">
        <f>VLOOKUP(C1456,'Equalização'!E:J,6,0)</f>
        <v>#N/A</v>
      </c>
    </row>
    <row r="1457" ht="15.75" customHeight="1">
      <c r="C1457" s="47">
        <v>169197.0</v>
      </c>
      <c r="D1457" s="47" t="str">
        <f>VLOOKUP(C1457,'Equalização'!E:J,6,0)</f>
        <v>#N/A</v>
      </c>
    </row>
    <row r="1458" ht="15.75" customHeight="1">
      <c r="C1458" s="47">
        <v>205527.0</v>
      </c>
      <c r="D1458" s="47" t="str">
        <f>VLOOKUP(C1458,'Equalização'!E:J,6,0)</f>
        <v>#N/A</v>
      </c>
    </row>
    <row r="1459" ht="15.75" customHeight="1">
      <c r="C1459" s="47">
        <v>231071.0</v>
      </c>
      <c r="D1459" s="47" t="str">
        <f>VLOOKUP(C1459,'Equalização'!E:J,6,0)</f>
        <v>#N/A</v>
      </c>
    </row>
    <row r="1460" ht="15.75" customHeight="1">
      <c r="C1460" s="47">
        <v>223348.0</v>
      </c>
      <c r="D1460" s="47" t="str">
        <f>VLOOKUP(C1460,'Equalização'!E:J,6,0)</f>
        <v>#N/A</v>
      </c>
    </row>
    <row r="1461" ht="15.75" customHeight="1">
      <c r="C1461" s="47">
        <v>226341.0</v>
      </c>
      <c r="D1461" s="47" t="str">
        <f>VLOOKUP(C1461,'Equalização'!E:J,6,0)</f>
        <v>#N/A</v>
      </c>
    </row>
    <row r="1462" ht="15.75" customHeight="1">
      <c r="C1462" s="47">
        <v>220132.0</v>
      </c>
      <c r="D1462" s="47" t="str">
        <f>VLOOKUP(C1462,'Equalização'!E:J,6,0)</f>
        <v>#N/A</v>
      </c>
    </row>
    <row r="1463" ht="15.75" customHeight="1">
      <c r="C1463" s="47">
        <v>226311.0</v>
      </c>
      <c r="D1463" s="47" t="str">
        <f>VLOOKUP(C1463,'Equalização'!E:J,6,0)</f>
        <v>#N/A</v>
      </c>
    </row>
    <row r="1464" ht="15.75" customHeight="1">
      <c r="C1464" s="47">
        <v>226306.0</v>
      </c>
      <c r="D1464" s="47" t="str">
        <f>VLOOKUP(C1464,'Equalização'!E:J,6,0)</f>
        <v>#N/A</v>
      </c>
    </row>
    <row r="1465" ht="15.75" customHeight="1">
      <c r="C1465" s="47">
        <v>174611.0</v>
      </c>
      <c r="D1465" s="47" t="str">
        <f>VLOOKUP(C1465,'Equalização'!E:J,6,0)</f>
        <v>#N/A</v>
      </c>
    </row>
    <row r="1466" ht="15.75" customHeight="1">
      <c r="C1466" s="47">
        <v>210630.0</v>
      </c>
      <c r="D1466" s="47" t="str">
        <f>VLOOKUP(C1466,'Equalização'!E:J,6,0)</f>
        <v>#N/A</v>
      </c>
    </row>
    <row r="1467" ht="15.75" customHeight="1">
      <c r="C1467" s="47">
        <v>213134.0</v>
      </c>
      <c r="D1467" s="47" t="str">
        <f>VLOOKUP(C1467,'Equalização'!E:J,6,0)</f>
        <v>#N/A</v>
      </c>
    </row>
    <row r="1468" ht="15.75" customHeight="1">
      <c r="C1468" s="47">
        <v>204676.0</v>
      </c>
      <c r="D1468" s="47" t="str">
        <f>VLOOKUP(C1468,'Equalização'!E:J,6,0)</f>
        <v>#N/A</v>
      </c>
    </row>
    <row r="1469" ht="15.75" customHeight="1">
      <c r="C1469" s="47">
        <v>226219.0</v>
      </c>
      <c r="D1469" s="47" t="str">
        <f>VLOOKUP(C1469,'Equalização'!E:J,6,0)</f>
        <v>#N/A</v>
      </c>
    </row>
    <row r="1470" ht="15.75" customHeight="1">
      <c r="C1470" s="47">
        <v>226204.0</v>
      </c>
      <c r="D1470" s="47" t="str">
        <f>VLOOKUP(C1470,'Equalização'!E:J,6,0)</f>
        <v>#N/A</v>
      </c>
    </row>
    <row r="1471" ht="15.75" customHeight="1">
      <c r="C1471" s="47">
        <v>219904.0</v>
      </c>
      <c r="D1471" s="47" t="str">
        <f>VLOOKUP(C1471,'Equalização'!E:J,6,0)</f>
        <v>#N/A</v>
      </c>
    </row>
    <row r="1472" ht="15.75" customHeight="1">
      <c r="C1472" s="47">
        <v>213228.0</v>
      </c>
      <c r="D1472" s="47" t="str">
        <f>VLOOKUP(C1472,'Equalização'!E:J,6,0)</f>
        <v>#N/A</v>
      </c>
    </row>
    <row r="1473" ht="15.75" customHeight="1">
      <c r="C1473" s="47">
        <v>212269.0</v>
      </c>
      <c r="D1473" s="47" t="str">
        <f>VLOOKUP(C1473,'Equalização'!E:J,6,0)</f>
        <v>#N/A</v>
      </c>
    </row>
    <row r="1474" ht="15.75" customHeight="1">
      <c r="C1474" s="47">
        <v>225648.0</v>
      </c>
      <c r="D1474" s="47" t="str">
        <f>VLOOKUP(C1474,'Equalização'!E:J,6,0)</f>
        <v>#N/A</v>
      </c>
    </row>
    <row r="1475" ht="15.75" customHeight="1">
      <c r="C1475" s="47">
        <v>225819.0</v>
      </c>
      <c r="D1475" s="47" t="str">
        <f>VLOOKUP(C1475,'Equalização'!E:J,6,0)</f>
        <v>#N/A</v>
      </c>
    </row>
    <row r="1476" ht="15.75" customHeight="1">
      <c r="C1476" s="47">
        <v>204960.0</v>
      </c>
      <c r="D1476" s="47" t="str">
        <f>VLOOKUP(C1476,'Equalização'!E:J,6,0)</f>
        <v>#N/A</v>
      </c>
    </row>
    <row r="1477" ht="15.75" customHeight="1">
      <c r="C1477" s="47">
        <v>231091.0</v>
      </c>
      <c r="D1477" s="47" t="str">
        <f>VLOOKUP(C1477,'Equalização'!E:J,6,0)</f>
        <v>#N/A</v>
      </c>
    </row>
    <row r="1478" ht="15.75" customHeight="1">
      <c r="C1478" s="47">
        <v>225945.0</v>
      </c>
      <c r="D1478" s="47" t="str">
        <f>VLOOKUP(C1478,'Equalização'!E:J,6,0)</f>
        <v>#N/A</v>
      </c>
    </row>
    <row r="1479" ht="15.75" customHeight="1">
      <c r="C1479" s="47">
        <v>221275.0</v>
      </c>
      <c r="D1479" s="47" t="str">
        <f>VLOOKUP(C1479,'Equalização'!E:J,6,0)</f>
        <v>#N/A</v>
      </c>
    </row>
    <row r="1480" ht="15.75" customHeight="1">
      <c r="C1480" s="47">
        <v>204961.0</v>
      </c>
      <c r="D1480" s="47" t="str">
        <f>VLOOKUP(C1480,'Equalização'!E:J,6,0)</f>
        <v>#N/A</v>
      </c>
    </row>
    <row r="1481" ht="15.75" customHeight="1">
      <c r="C1481" s="47">
        <v>213088.0</v>
      </c>
      <c r="D1481" s="47" t="str">
        <f>VLOOKUP(C1481,'Equalização'!E:J,6,0)</f>
        <v>#N/A</v>
      </c>
    </row>
    <row r="1482" ht="15.75" customHeight="1">
      <c r="C1482" s="47">
        <v>231092.0</v>
      </c>
      <c r="D1482" s="47" t="str">
        <f>VLOOKUP(C1482,'Equalização'!E:J,6,0)</f>
        <v>#N/A</v>
      </c>
    </row>
    <row r="1483" ht="15.75" customHeight="1">
      <c r="C1483" s="47">
        <v>237776.0</v>
      </c>
      <c r="D1483" s="47" t="str">
        <f>VLOOKUP(C1483,'Equalização'!E:J,6,0)</f>
        <v>#N/A</v>
      </c>
    </row>
    <row r="1484" ht="15.75" customHeight="1">
      <c r="C1484" s="47">
        <v>220116.0</v>
      </c>
      <c r="D1484" s="47" t="str">
        <f>VLOOKUP(C1484,'Equalização'!E:J,6,0)</f>
        <v>#N/A</v>
      </c>
    </row>
    <row r="1485" ht="15.75" customHeight="1">
      <c r="C1485" s="47">
        <v>225671.0</v>
      </c>
      <c r="D1485" s="47" t="str">
        <f>VLOOKUP(C1485,'Equalização'!E:J,6,0)</f>
        <v>#N/A</v>
      </c>
    </row>
    <row r="1486" ht="15.75" customHeight="1">
      <c r="C1486" s="47">
        <v>225798.0</v>
      </c>
      <c r="D1486" s="47" t="str">
        <f>VLOOKUP(C1486,'Equalização'!E:J,6,0)</f>
        <v>#N/A</v>
      </c>
    </row>
    <row r="1487" ht="15.75" customHeight="1">
      <c r="C1487" s="47">
        <v>210627.0</v>
      </c>
      <c r="D1487" s="47" t="str">
        <f>VLOOKUP(C1487,'Equalização'!E:J,6,0)</f>
        <v>#N/A</v>
      </c>
    </row>
    <row r="1488" ht="15.75" customHeight="1">
      <c r="C1488" s="47">
        <v>212997.0</v>
      </c>
      <c r="D1488" s="47" t="str">
        <f>VLOOKUP(C1488,'Equalização'!E:J,6,0)</f>
        <v>#N/A</v>
      </c>
    </row>
    <row r="1489" ht="15.75" customHeight="1">
      <c r="C1489" s="47">
        <v>225716.0</v>
      </c>
      <c r="D1489" s="47" t="str">
        <f>VLOOKUP(C1489,'Equalização'!E:J,6,0)</f>
        <v>#N/A</v>
      </c>
    </row>
    <row r="1490" ht="15.75" customHeight="1">
      <c r="C1490" s="47">
        <v>225777.0</v>
      </c>
      <c r="D1490" s="47" t="str">
        <f>VLOOKUP(C1490,'Equalização'!E:J,6,0)</f>
        <v>#N/A</v>
      </c>
    </row>
    <row r="1491" ht="15.75" customHeight="1">
      <c r="C1491" s="47">
        <v>240364.0</v>
      </c>
      <c r="D1491" s="47" t="str">
        <f>VLOOKUP(C1491,'Equalização'!E:J,6,0)</f>
        <v>#N/A</v>
      </c>
    </row>
    <row r="1492" ht="15.75" customHeight="1">
      <c r="C1492" s="47">
        <v>205930.0</v>
      </c>
      <c r="D1492" s="47" t="str">
        <f>VLOOKUP(C1492,'Equalização'!E:J,6,0)</f>
        <v>#N/A</v>
      </c>
    </row>
    <row r="1493" ht="15.75" customHeight="1">
      <c r="C1493" s="47">
        <v>240754.0</v>
      </c>
      <c r="D1493" s="47" t="str">
        <f>VLOOKUP(C1493,'Equalização'!E:J,6,0)</f>
        <v>#N/A</v>
      </c>
    </row>
    <row r="1494" ht="15.75" customHeight="1">
      <c r="C1494" s="47">
        <v>225741.0</v>
      </c>
      <c r="D1494" s="47" t="str">
        <f>VLOOKUP(C1494,'Equalização'!E:J,6,0)</f>
        <v>#N/A</v>
      </c>
    </row>
    <row r="1495" ht="15.75" customHeight="1">
      <c r="C1495" s="47">
        <v>213135.0</v>
      </c>
      <c r="D1495" s="47" t="str">
        <f>VLOOKUP(C1495,'Equalização'!E:J,6,0)</f>
        <v>#N/A</v>
      </c>
    </row>
    <row r="1496" ht="15.75" customHeight="1">
      <c r="C1496" s="47">
        <v>224723.0</v>
      </c>
      <c r="D1496" s="47" t="str">
        <f>VLOOKUP(C1496,'Equalização'!E:J,6,0)</f>
        <v>#N/A</v>
      </c>
    </row>
    <row r="1497" ht="15.75" customHeight="1">
      <c r="C1497" s="47">
        <v>201073.0</v>
      </c>
      <c r="D1497" s="47" t="str">
        <f>VLOOKUP(C1497,'Equalização'!E:J,6,0)</f>
        <v>#N/A</v>
      </c>
    </row>
    <row r="1498" ht="15.75" customHeight="1">
      <c r="C1498" s="47">
        <v>231015.0</v>
      </c>
      <c r="D1498" s="47" t="str">
        <f>VLOOKUP(C1498,'Equalização'!E:J,6,0)</f>
        <v>#N/A</v>
      </c>
    </row>
    <row r="1499" ht="15.75" customHeight="1">
      <c r="C1499" s="47">
        <v>231017.0</v>
      </c>
      <c r="D1499" s="47" t="str">
        <f>VLOOKUP(C1499,'Equalização'!E:J,6,0)</f>
        <v>#N/A</v>
      </c>
    </row>
    <row r="1500" ht="15.75" customHeight="1">
      <c r="C1500" s="47">
        <v>231080.0</v>
      </c>
      <c r="D1500" s="47" t="str">
        <f>VLOOKUP(C1500,'Equalização'!E:J,6,0)</f>
        <v>#N/A</v>
      </c>
    </row>
    <row r="1501" ht="15.75" customHeight="1">
      <c r="C1501" s="47">
        <v>172888.0</v>
      </c>
      <c r="D1501" s="47" t="str">
        <f>VLOOKUP(C1501,'Equalização'!E:J,6,0)</f>
        <v>#N/A</v>
      </c>
    </row>
    <row r="1502" ht="15.75" customHeight="1">
      <c r="C1502" s="47">
        <v>202818.0</v>
      </c>
      <c r="D1502" s="47" t="str">
        <f>VLOOKUP(C1502,'Equalização'!E:J,6,0)</f>
        <v>#N/A</v>
      </c>
    </row>
    <row r="1503" ht="15.75" customHeight="1">
      <c r="C1503" s="47">
        <v>227735.0</v>
      </c>
      <c r="D1503" s="47" t="str">
        <f>VLOOKUP(C1503,'Equalização'!E:J,6,0)</f>
        <v>#N/A</v>
      </c>
    </row>
    <row r="1504" ht="15.75" customHeight="1">
      <c r="C1504" s="47">
        <v>84638.0</v>
      </c>
      <c r="D1504" s="47" t="str">
        <f>VLOOKUP(C1504,'Equalização'!E:J,6,0)</f>
        <v>#N/A</v>
      </c>
    </row>
    <row r="1505" ht="15.75" customHeight="1">
      <c r="C1505" s="47">
        <v>231018.0</v>
      </c>
      <c r="D1505" s="47" t="str">
        <f>VLOOKUP(C1505,'Equalização'!E:J,6,0)</f>
        <v>#N/A</v>
      </c>
    </row>
    <row r="1506" ht="15.75" customHeight="1">
      <c r="C1506" s="47">
        <v>207815.0</v>
      </c>
      <c r="D1506" s="47" t="str">
        <f>VLOOKUP(C1506,'Equalização'!E:J,6,0)</f>
        <v>#N/A</v>
      </c>
    </row>
    <row r="1507" ht="15.75" customHeight="1">
      <c r="C1507" s="47">
        <v>211131.0</v>
      </c>
      <c r="D1507" s="47" t="str">
        <f>VLOOKUP(C1507,'Equalização'!E:J,6,0)</f>
        <v>#N/A</v>
      </c>
    </row>
    <row r="1508" ht="15.75" customHeight="1">
      <c r="C1508" s="47">
        <v>240037.0</v>
      </c>
      <c r="D1508" s="47" t="str">
        <f>VLOOKUP(C1508,'Equalização'!E:J,6,0)</f>
        <v>#N/A</v>
      </c>
    </row>
    <row r="1509" ht="15.75" customHeight="1">
      <c r="C1509" s="47">
        <v>210628.0</v>
      </c>
      <c r="D1509" s="47" t="str">
        <f>VLOOKUP(C1509,'Equalização'!E:J,6,0)</f>
        <v>#N/A</v>
      </c>
    </row>
    <row r="1510" ht="15.75" customHeight="1">
      <c r="C1510" s="47">
        <v>225673.0</v>
      </c>
      <c r="D1510" s="47" t="str">
        <f>VLOOKUP(C1510,'Equalização'!E:J,6,0)</f>
        <v>#N/A</v>
      </c>
    </row>
    <row r="1511" ht="15.75" customHeight="1">
      <c r="C1511" s="47">
        <v>206049.0</v>
      </c>
      <c r="D1511" s="47" t="str">
        <f>VLOOKUP(C1511,'Equalização'!E:J,6,0)</f>
        <v>#N/A</v>
      </c>
    </row>
    <row r="1512" ht="15.75" customHeight="1">
      <c r="C1512" s="47">
        <v>160175.0</v>
      </c>
      <c r="D1512" s="47" t="str">
        <f>VLOOKUP(C1512,'Equalização'!E:J,6,0)</f>
        <v>#N/A</v>
      </c>
    </row>
    <row r="1513" ht="15.75" customHeight="1">
      <c r="C1513" s="47">
        <v>231019.0</v>
      </c>
      <c r="D1513" s="47" t="str">
        <f>VLOOKUP(C1513,'Equalização'!E:J,6,0)</f>
        <v>#N/A</v>
      </c>
    </row>
    <row r="1514" ht="15.75" customHeight="1">
      <c r="C1514" s="47">
        <v>231100.0</v>
      </c>
      <c r="D1514" s="47" t="str">
        <f>VLOOKUP(C1514,'Equalização'!E:J,6,0)</f>
        <v>#N/A</v>
      </c>
    </row>
    <row r="1515" ht="15.75" customHeight="1">
      <c r="C1515" s="47">
        <v>135006.0</v>
      </c>
      <c r="D1515" s="47" t="str">
        <f>VLOOKUP(C1515,'Equalização'!E:J,6,0)</f>
        <v>#N/A</v>
      </c>
    </row>
    <row r="1516" ht="15.75" customHeight="1">
      <c r="C1516" s="47">
        <v>207761.0</v>
      </c>
      <c r="D1516" s="47" t="str">
        <f>VLOOKUP(C1516,'Equalização'!E:J,6,0)</f>
        <v>#N/A</v>
      </c>
    </row>
    <row r="1517" ht="15.75" customHeight="1">
      <c r="C1517" s="47">
        <v>225681.0</v>
      </c>
      <c r="D1517" s="47" t="str">
        <f>VLOOKUP(C1517,'Equalização'!E:J,6,0)</f>
        <v>#N/A</v>
      </c>
    </row>
    <row r="1518" ht="15.75" customHeight="1">
      <c r="C1518" s="47">
        <v>57762.0</v>
      </c>
      <c r="D1518" s="47" t="str">
        <f>VLOOKUP(C1518,'Equalização'!E:J,6,0)</f>
        <v>#N/A</v>
      </c>
    </row>
    <row r="1519" ht="15.75" customHeight="1">
      <c r="C1519" s="47">
        <v>221259.0</v>
      </c>
      <c r="D1519" s="47" t="str">
        <f>VLOOKUP(C1519,'Equalização'!E:J,6,0)</f>
        <v>#N/A</v>
      </c>
    </row>
    <row r="1520" ht="15.75" customHeight="1">
      <c r="C1520" s="47">
        <v>200049.0</v>
      </c>
      <c r="D1520" s="47" t="str">
        <f>VLOOKUP(C1520,'Equalização'!E:J,6,0)</f>
        <v>#N/A</v>
      </c>
    </row>
    <row r="1521" ht="15.75" customHeight="1">
      <c r="C1521" s="47">
        <v>225796.0</v>
      </c>
      <c r="D1521" s="47" t="str">
        <f>VLOOKUP(C1521,'Equalização'!E:J,6,0)</f>
        <v>#N/A</v>
      </c>
    </row>
    <row r="1522" ht="15.75" customHeight="1">
      <c r="C1522" s="47">
        <v>231104.0</v>
      </c>
      <c r="D1522" s="47" t="str">
        <f>VLOOKUP(C1522,'Equalização'!E:J,6,0)</f>
        <v>#N/A</v>
      </c>
    </row>
    <row r="1523" ht="15.75" customHeight="1">
      <c r="C1523" s="47">
        <v>223926.0</v>
      </c>
      <c r="D1523" s="47" t="str">
        <f>VLOOKUP(C1523,'Equalização'!E:J,6,0)</f>
        <v>#N/A</v>
      </c>
    </row>
    <row r="1524" ht="15.75" customHeight="1">
      <c r="C1524" s="47">
        <v>223934.0</v>
      </c>
      <c r="D1524" s="47" t="str">
        <f>VLOOKUP(C1524,'Equalização'!E:J,6,0)</f>
        <v>#N/A</v>
      </c>
    </row>
    <row r="1525" ht="15.75" customHeight="1">
      <c r="C1525" s="47">
        <v>169355.0</v>
      </c>
      <c r="D1525" s="47" t="str">
        <f>VLOOKUP(C1525,'Equalização'!E:J,6,0)</f>
        <v>#N/A</v>
      </c>
    </row>
    <row r="1526" ht="15.75" customHeight="1">
      <c r="C1526" s="47">
        <v>206035.0</v>
      </c>
      <c r="D1526" s="47" t="str">
        <f>VLOOKUP(C1526,'Equalização'!E:J,6,0)</f>
        <v>#N/A</v>
      </c>
    </row>
    <row r="1527" ht="15.75" customHeight="1">
      <c r="C1527" s="47">
        <v>174303.0</v>
      </c>
      <c r="D1527" s="47" t="str">
        <f>VLOOKUP(C1527,'Equalização'!E:J,6,0)</f>
        <v>#N/A</v>
      </c>
    </row>
    <row r="1528" ht="15.75" customHeight="1">
      <c r="C1528" s="47">
        <v>223446.0</v>
      </c>
      <c r="D1528" s="47" t="str">
        <f>VLOOKUP(C1528,'Equalização'!E:J,6,0)</f>
        <v>#N/A</v>
      </c>
    </row>
    <row r="1529" ht="15.75" customHeight="1">
      <c r="C1529" s="47">
        <v>225771.0</v>
      </c>
      <c r="D1529" s="47" t="str">
        <f>VLOOKUP(C1529,'Equalização'!E:J,6,0)</f>
        <v>#N/A</v>
      </c>
    </row>
    <row r="1530" ht="15.75" customHeight="1">
      <c r="C1530" s="47">
        <v>213173.0</v>
      </c>
      <c r="D1530" s="47" t="str">
        <f>VLOOKUP(C1530,'Equalização'!E:J,6,0)</f>
        <v>#N/A</v>
      </c>
    </row>
    <row r="1531" ht="15.75" customHeight="1">
      <c r="C1531" s="47">
        <v>224826.0</v>
      </c>
      <c r="D1531" s="47" t="str">
        <f>VLOOKUP(C1531,'Equalização'!E:J,6,0)</f>
        <v>#N/A</v>
      </c>
    </row>
    <row r="1532" ht="15.75" customHeight="1">
      <c r="C1532" s="47">
        <v>225571.0</v>
      </c>
      <c r="D1532" s="47" t="str">
        <f>VLOOKUP(C1532,'Equalização'!E:J,6,0)</f>
        <v>#N/A</v>
      </c>
    </row>
    <row r="1533" ht="15.75" customHeight="1">
      <c r="C1533" s="47">
        <v>221264.0</v>
      </c>
      <c r="D1533" s="47" t="str">
        <f>VLOOKUP(C1533,'Equalização'!E:J,6,0)</f>
        <v>#N/A</v>
      </c>
    </row>
    <row r="1534" ht="15.75" customHeight="1">
      <c r="C1534" s="47">
        <v>221265.0</v>
      </c>
      <c r="D1534" s="47" t="str">
        <f>VLOOKUP(C1534,'Equalização'!E:J,6,0)</f>
        <v>#N/A</v>
      </c>
    </row>
    <row r="1535" ht="15.75" customHeight="1">
      <c r="C1535" s="47">
        <v>213026.0</v>
      </c>
      <c r="D1535" s="47" t="str">
        <f>VLOOKUP(C1535,'Equalização'!E:J,6,0)</f>
        <v>#N/A</v>
      </c>
    </row>
    <row r="1536" ht="15.75" customHeight="1">
      <c r="C1536" s="47">
        <v>230884.0</v>
      </c>
      <c r="D1536" s="47" t="str">
        <f>VLOOKUP(C1536,'Equalização'!E:J,6,0)</f>
        <v>#N/A</v>
      </c>
    </row>
    <row r="1537" ht="15.75" customHeight="1">
      <c r="C1537" s="47">
        <v>206045.0</v>
      </c>
      <c r="D1537" s="47" t="str">
        <f>VLOOKUP(C1537,'Equalização'!E:J,6,0)</f>
        <v>#N/A</v>
      </c>
    </row>
    <row r="1538" ht="15.75" customHeight="1">
      <c r="C1538" s="47">
        <v>54127.0</v>
      </c>
      <c r="D1538" s="47" t="str">
        <f>VLOOKUP(C1538,'Equalização'!E:J,6,0)</f>
        <v>#N/A</v>
      </c>
    </row>
    <row r="1539" ht="15.75" customHeight="1">
      <c r="C1539" s="47">
        <v>231007.0</v>
      </c>
      <c r="D1539" s="47" t="str">
        <f>VLOOKUP(C1539,'Equalização'!E:J,6,0)</f>
        <v>#N/A</v>
      </c>
    </row>
    <row r="1540" ht="15.75" customHeight="1">
      <c r="C1540" s="47">
        <v>231010.0</v>
      </c>
      <c r="D1540" s="47" t="str">
        <f>VLOOKUP(C1540,'Equalização'!E:J,6,0)</f>
        <v>#N/A</v>
      </c>
    </row>
    <row r="1541" ht="15.75" customHeight="1">
      <c r="C1541" s="47">
        <v>231012.0</v>
      </c>
      <c r="D1541" s="47" t="str">
        <f>VLOOKUP(C1541,'Equalização'!E:J,6,0)</f>
        <v>#N/A</v>
      </c>
    </row>
    <row r="1542" ht="15.75" customHeight="1">
      <c r="C1542" s="47">
        <v>83640.0</v>
      </c>
      <c r="D1542" s="47" t="str">
        <f>VLOOKUP(C1542,'Equalização'!E:J,6,0)</f>
        <v>#N/A</v>
      </c>
    </row>
    <row r="1543" ht="15.75" customHeight="1">
      <c r="C1543" s="47">
        <v>206098.0</v>
      </c>
      <c r="D1543" s="47" t="str">
        <f>VLOOKUP(C1543,'Equalização'!E:J,6,0)</f>
        <v>#N/A</v>
      </c>
    </row>
    <row r="1544" ht="15.75" customHeight="1">
      <c r="C1544" s="47">
        <v>210625.0</v>
      </c>
      <c r="D1544" s="47" t="str">
        <f>VLOOKUP(C1544,'Equalização'!E:J,6,0)</f>
        <v>#N/A</v>
      </c>
    </row>
    <row r="1545" ht="15.75" customHeight="1">
      <c r="C1545" s="47">
        <v>228093.0</v>
      </c>
      <c r="D1545" s="47" t="str">
        <f>VLOOKUP(C1545,'Equalização'!E:J,6,0)</f>
        <v>#N/A</v>
      </c>
    </row>
    <row r="1546" ht="15.75" customHeight="1">
      <c r="C1546" s="47">
        <v>231009.0</v>
      </c>
      <c r="D1546" s="47" t="str">
        <f>VLOOKUP(C1546,'Equalização'!E:J,6,0)</f>
        <v>#N/A</v>
      </c>
    </row>
    <row r="1547" ht="15.75" customHeight="1">
      <c r="C1547" s="47">
        <v>231081.0</v>
      </c>
      <c r="D1547" s="47" t="str">
        <f>VLOOKUP(C1547,'Equalização'!E:J,6,0)</f>
        <v>#N/A</v>
      </c>
    </row>
    <row r="1548" ht="15.75" customHeight="1">
      <c r="C1548" s="47">
        <v>231084.0</v>
      </c>
      <c r="D1548" s="47" t="str">
        <f>VLOOKUP(C1548,'Equalização'!E:J,6,0)</f>
        <v>#N/A</v>
      </c>
    </row>
    <row r="1549" ht="15.75" customHeight="1">
      <c r="C1549" s="47">
        <v>231096.0</v>
      </c>
      <c r="D1549" s="47" t="str">
        <f>VLOOKUP(C1549,'Equalização'!E:J,6,0)</f>
        <v>#N/A</v>
      </c>
    </row>
    <row r="1550" ht="15.75" customHeight="1">
      <c r="C1550" s="47">
        <v>231103.0</v>
      </c>
      <c r="D1550" s="47" t="str">
        <f>VLOOKUP(C1550,'Equalização'!E:J,6,0)</f>
        <v>#N/A</v>
      </c>
    </row>
    <row r="1551" ht="15.75" customHeight="1">
      <c r="C1551" s="47">
        <v>225713.0</v>
      </c>
      <c r="D1551" s="47" t="str">
        <f>VLOOKUP(C1551,'Equalização'!E:J,6,0)</f>
        <v>#N/A</v>
      </c>
    </row>
    <row r="1552" ht="15.75" customHeight="1">
      <c r="C1552" s="47">
        <v>226335.0</v>
      </c>
      <c r="D1552" s="47" t="str">
        <f>VLOOKUP(C1552,'Equalização'!E:J,6,0)</f>
        <v>#N/A</v>
      </c>
    </row>
    <row r="1553" ht="15.75" customHeight="1">
      <c r="C1553" s="47">
        <v>132263.0</v>
      </c>
      <c r="D1553" s="47" t="str">
        <f>VLOOKUP(C1553,'Equalização'!E:J,6,0)</f>
        <v>#N/A</v>
      </c>
    </row>
    <row r="1554" ht="15.75" customHeight="1">
      <c r="C1554" s="47">
        <v>220156.0</v>
      </c>
      <c r="D1554" s="47" t="str">
        <f>VLOOKUP(C1554,'Equalização'!E:J,6,0)</f>
        <v>#N/A</v>
      </c>
    </row>
    <row r="1555" ht="15.75" customHeight="1">
      <c r="C1555" s="47">
        <v>208727.0</v>
      </c>
      <c r="D1555" s="47" t="str">
        <f>VLOOKUP(C1555,'Equalização'!E:J,6,0)</f>
        <v>#N/A</v>
      </c>
    </row>
    <row r="1556" ht="15.75" customHeight="1">
      <c r="C1556" s="47">
        <v>214073.0</v>
      </c>
      <c r="D1556" s="47" t="str">
        <f>VLOOKUP(C1556,'Equalização'!E:J,6,0)</f>
        <v>#N/A</v>
      </c>
    </row>
    <row r="1557" ht="15.75" customHeight="1">
      <c r="C1557" s="47">
        <v>225578.0</v>
      </c>
      <c r="D1557" s="47" t="str">
        <f>VLOOKUP(C1557,'Equalização'!E:J,6,0)</f>
        <v>#N/A</v>
      </c>
    </row>
    <row r="1558" ht="15.75" customHeight="1">
      <c r="C1558" s="47">
        <v>222994.0</v>
      </c>
      <c r="D1558" s="47" t="str">
        <f>VLOOKUP(C1558,'Equalização'!E:J,6,0)</f>
        <v>#N/A</v>
      </c>
    </row>
    <row r="1559" ht="15.75" customHeight="1">
      <c r="C1559" s="47">
        <v>217990.0</v>
      </c>
      <c r="D1559" s="47" t="str">
        <f>VLOOKUP(C1559,'Equalização'!E:J,6,0)</f>
        <v>#N/A</v>
      </c>
    </row>
    <row r="1560" ht="15.75" customHeight="1">
      <c r="C1560" s="47">
        <v>206379.0</v>
      </c>
      <c r="D1560" s="47" t="str">
        <f>VLOOKUP(C1560,'Equalização'!E:J,6,0)</f>
        <v>#N/A</v>
      </c>
    </row>
    <row r="1561" ht="15.75" customHeight="1">
      <c r="C1561" s="47">
        <v>218093.0</v>
      </c>
      <c r="D1561" s="47" t="str">
        <f>VLOOKUP(C1561,'Equalização'!E:J,6,0)</f>
        <v>#N/A</v>
      </c>
    </row>
    <row r="1562" ht="15.75" customHeight="1">
      <c r="C1562" s="47">
        <v>231013.0</v>
      </c>
      <c r="D1562" s="47" t="str">
        <f>VLOOKUP(C1562,'Equalização'!E:J,6,0)</f>
        <v>#N/A</v>
      </c>
    </row>
    <row r="1563" ht="15.75" customHeight="1">
      <c r="C1563" s="47">
        <v>231016.0</v>
      </c>
      <c r="D1563" s="47" t="str">
        <f>VLOOKUP(C1563,'Equalização'!E:J,6,0)</f>
        <v>#N/A</v>
      </c>
    </row>
    <row r="1564" ht="15.75" customHeight="1">
      <c r="C1564" s="47">
        <v>231093.0</v>
      </c>
      <c r="D1564" s="47" t="str">
        <f>VLOOKUP(C1564,'Equalização'!E:J,6,0)</f>
        <v>#N/A</v>
      </c>
    </row>
    <row r="1565" ht="15.75" customHeight="1">
      <c r="C1565" s="47">
        <v>133965.0</v>
      </c>
      <c r="D1565" s="47" t="str">
        <f>VLOOKUP(C1565,'Equalização'!E:J,6,0)</f>
        <v>#N/A</v>
      </c>
    </row>
    <row r="1566" ht="15.75" customHeight="1">
      <c r="C1566" s="47">
        <v>227540.0</v>
      </c>
      <c r="D1566" s="47" t="str">
        <f>VLOOKUP(C1566,'Equalização'!E:J,6,0)</f>
        <v>#N/A</v>
      </c>
    </row>
    <row r="1567" ht="15.75" customHeight="1">
      <c r="C1567" s="47">
        <v>240759.0</v>
      </c>
      <c r="D1567" s="47" t="str">
        <f>VLOOKUP(C1567,'Equalização'!E:J,6,0)</f>
        <v>#N/A</v>
      </c>
    </row>
    <row r="1568" ht="15.75" customHeight="1">
      <c r="C1568" s="47">
        <v>237039.0</v>
      </c>
      <c r="D1568" s="47" t="str">
        <f>VLOOKUP(C1568,'Equalização'!E:J,6,0)</f>
        <v>#N/A</v>
      </c>
    </row>
    <row r="1569" ht="15.75" customHeight="1">
      <c r="C1569" s="47">
        <v>237181.0</v>
      </c>
      <c r="D1569" s="47" t="str">
        <f>VLOOKUP(C1569,'Equalização'!E:J,6,0)</f>
        <v>#N/A</v>
      </c>
    </row>
    <row r="1570" ht="15.75" customHeight="1">
      <c r="C1570" s="47">
        <v>162002.0</v>
      </c>
      <c r="D1570" s="47" t="str">
        <f>VLOOKUP(C1570,'Equalização'!E:J,6,0)</f>
        <v>#N/A</v>
      </c>
    </row>
    <row r="1571" ht="15.75" customHeight="1">
      <c r="C1571" s="47">
        <v>231008.0</v>
      </c>
      <c r="D1571" s="47" t="str">
        <f>VLOOKUP(C1571,'Equalização'!E:J,6,0)</f>
        <v>#N/A</v>
      </c>
    </row>
    <row r="1572" ht="15.75" customHeight="1">
      <c r="C1572" s="47">
        <v>231083.0</v>
      </c>
      <c r="D1572" s="47" t="str">
        <f>VLOOKUP(C1572,'Equalização'!E:J,6,0)</f>
        <v>#N/A</v>
      </c>
    </row>
    <row r="1573" ht="15.75" customHeight="1">
      <c r="C1573" s="47">
        <v>231087.0</v>
      </c>
      <c r="D1573" s="47" t="str">
        <f>VLOOKUP(C1573,'Equalização'!E:J,6,0)</f>
        <v>#N/A</v>
      </c>
    </row>
    <row r="1574" ht="15.75" customHeight="1">
      <c r="C1574" s="47">
        <v>231089.0</v>
      </c>
      <c r="D1574" s="47" t="str">
        <f>VLOOKUP(C1574,'Equalização'!E:J,6,0)</f>
        <v>#N/A</v>
      </c>
    </row>
    <row r="1575" ht="15.75" customHeight="1">
      <c r="C1575" s="47">
        <v>231094.0</v>
      </c>
      <c r="D1575" s="47" t="str">
        <f>VLOOKUP(C1575,'Equalização'!E:J,6,0)</f>
        <v>#N/A</v>
      </c>
    </row>
    <row r="1576" ht="15.75" customHeight="1">
      <c r="C1576" s="47">
        <v>231095.0</v>
      </c>
      <c r="D1576" s="47" t="str">
        <f>VLOOKUP(C1576,'Equalização'!E:J,6,0)</f>
        <v>#N/A</v>
      </c>
    </row>
    <row r="1577" ht="15.75" customHeight="1">
      <c r="C1577" s="47">
        <v>231097.0</v>
      </c>
      <c r="D1577" s="47" t="str">
        <f>VLOOKUP(C1577,'Equalização'!E:J,6,0)</f>
        <v>#N/A</v>
      </c>
    </row>
    <row r="1578" ht="15.75" customHeight="1">
      <c r="C1578" s="47">
        <v>231102.0</v>
      </c>
      <c r="D1578" s="47" t="str">
        <f>VLOOKUP(C1578,'Equalização'!E:J,6,0)</f>
        <v>#N/A</v>
      </c>
    </row>
    <row r="1579" ht="15.75" customHeight="1">
      <c r="C1579" s="47">
        <v>163277.0</v>
      </c>
      <c r="D1579" s="47" t="str">
        <f>VLOOKUP(C1579,'Equalização'!E:J,6,0)</f>
        <v>#N/A</v>
      </c>
    </row>
    <row r="1580" ht="15.75" customHeight="1">
      <c r="C1580" s="47">
        <v>163278.0</v>
      </c>
      <c r="D1580" s="47" t="str">
        <f>VLOOKUP(C1580,'Equalização'!E:J,6,0)</f>
        <v>#N/A</v>
      </c>
    </row>
    <row r="1581" ht="15.75" customHeight="1">
      <c r="C1581" s="47">
        <v>163279.0</v>
      </c>
      <c r="D1581" s="47" t="str">
        <f>VLOOKUP(C1581,'Equalização'!E:J,6,0)</f>
        <v>#N/A</v>
      </c>
    </row>
    <row r="1582" ht="15.75" customHeight="1">
      <c r="C1582" s="47">
        <v>231088.0</v>
      </c>
      <c r="D1582" s="47" t="str">
        <f>VLOOKUP(C1582,'Equalização'!E:J,6,0)</f>
        <v>#N/A</v>
      </c>
    </row>
    <row r="1583" ht="15.75" customHeight="1">
      <c r="C1583" s="47">
        <v>223679.0</v>
      </c>
      <c r="D1583" s="47" t="str">
        <f>VLOOKUP(C1583,'Equalização'!E:J,6,0)</f>
        <v>#N/A</v>
      </c>
    </row>
    <row r="1584" ht="15.75" customHeight="1">
      <c r="C1584" s="47">
        <v>231004.0</v>
      </c>
      <c r="D1584" s="47" t="str">
        <f>VLOOKUP(C1584,'Equalização'!E:J,6,0)</f>
        <v>#N/A</v>
      </c>
    </row>
    <row r="1585" ht="15.75" customHeight="1">
      <c r="C1585" s="47">
        <v>231022.0</v>
      </c>
      <c r="D1585" s="47" t="str">
        <f>VLOOKUP(C1585,'Equalização'!E:J,6,0)</f>
        <v>#N/A</v>
      </c>
    </row>
    <row r="1586" ht="15.75" customHeight="1">
      <c r="C1586" s="47">
        <v>231047.0</v>
      </c>
      <c r="D1586" s="47" t="str">
        <f>VLOOKUP(C1586,'Equalização'!E:J,6,0)</f>
        <v>#N/A</v>
      </c>
    </row>
    <row r="1587" ht="15.75" customHeight="1">
      <c r="C1587" s="47">
        <v>231058.0</v>
      </c>
      <c r="D1587" s="47" t="str">
        <f>VLOOKUP(C1587,'Equalização'!E:J,6,0)</f>
        <v>#N/A</v>
      </c>
    </row>
    <row r="1588" ht="15.75" customHeight="1">
      <c r="C1588" s="47">
        <v>231066.0</v>
      </c>
      <c r="D1588" s="47" t="str">
        <f>VLOOKUP(C1588,'Equalização'!E:J,6,0)</f>
        <v>#N/A</v>
      </c>
    </row>
    <row r="1589" ht="15.75" customHeight="1">
      <c r="C1589" s="47">
        <v>231067.0</v>
      </c>
      <c r="D1589" s="47" t="str">
        <f>VLOOKUP(C1589,'Equalização'!E:J,6,0)</f>
        <v>#N/A</v>
      </c>
    </row>
    <row r="1590" ht="15.75" customHeight="1">
      <c r="C1590" s="47">
        <v>237775.0</v>
      </c>
      <c r="D1590" s="47" t="str">
        <f>VLOOKUP(C1590,'Equalização'!E:J,6,0)</f>
        <v>#N/A</v>
      </c>
    </row>
    <row r="1591" ht="15.75" customHeight="1">
      <c r="C1591" s="47">
        <v>206014.0</v>
      </c>
      <c r="D1591" s="47" t="str">
        <f>VLOOKUP(C1591,'Equalização'!E:J,6,0)</f>
        <v>#N/A</v>
      </c>
    </row>
    <row r="1592" ht="15.75" customHeight="1">
      <c r="C1592" s="47">
        <v>195393.0</v>
      </c>
      <c r="D1592" s="47" t="str">
        <f>VLOOKUP(C1592,'Equalização'!E:J,6,0)</f>
        <v>#N/A</v>
      </c>
    </row>
    <row r="1593" ht="15.75" customHeight="1">
      <c r="C1593" s="47">
        <v>213558.0</v>
      </c>
      <c r="D1593" s="47" t="str">
        <f>VLOOKUP(C1593,'Equalização'!E:J,6,0)</f>
        <v>#N/A</v>
      </c>
    </row>
    <row r="1594" ht="15.75" customHeight="1">
      <c r="C1594" s="47">
        <v>161997.0</v>
      </c>
      <c r="D1594" s="47" t="str">
        <f>VLOOKUP(C1594,'Equalização'!E:J,6,0)</f>
        <v>#N/A</v>
      </c>
    </row>
    <row r="1595" ht="15.75" customHeight="1">
      <c r="C1595" s="47">
        <v>214077.0</v>
      </c>
      <c r="D1595" s="47" t="str">
        <f>VLOOKUP(C1595,'Equalização'!E:J,6,0)</f>
        <v>#N/A</v>
      </c>
    </row>
    <row r="1596" ht="15.75" customHeight="1">
      <c r="C1596" s="47">
        <v>230804.0</v>
      </c>
      <c r="D1596" s="47" t="str">
        <f>VLOOKUP(C1596,'Equalização'!E:J,6,0)</f>
        <v>#N/A</v>
      </c>
    </row>
    <row r="1597" ht="15.75" customHeight="1">
      <c r="C1597" s="47">
        <v>225891.0</v>
      </c>
      <c r="D1597" s="47" t="str">
        <f>VLOOKUP(C1597,'Equalização'!E:J,6,0)</f>
        <v>#N/A</v>
      </c>
    </row>
    <row r="1598" ht="15.75" customHeight="1">
      <c r="C1598" s="47">
        <v>226422.0</v>
      </c>
      <c r="D1598" s="47" t="str">
        <f>VLOOKUP(C1598,'Equalização'!E:J,6,0)</f>
        <v>#N/A</v>
      </c>
    </row>
    <row r="1599" ht="15.75" customHeight="1">
      <c r="C1599" s="47">
        <v>225802.0</v>
      </c>
      <c r="D1599" s="47" t="str">
        <f>VLOOKUP(C1599,'Equalização'!E:J,6,0)</f>
        <v>#N/A</v>
      </c>
    </row>
    <row r="1600" ht="15.75" customHeight="1">
      <c r="C1600" s="47">
        <v>124704.0</v>
      </c>
      <c r="D1600" s="47" t="str">
        <f>VLOOKUP(C1600,'Equalização'!E:J,6,0)</f>
        <v>#N/A</v>
      </c>
    </row>
    <row r="1601" ht="15.75" customHeight="1">
      <c r="C1601" s="47">
        <v>181519.0</v>
      </c>
      <c r="D1601" s="47" t="str">
        <f>VLOOKUP(C1601,'Equalização'!E:J,6,0)</f>
        <v>#N/A</v>
      </c>
    </row>
    <row r="1602" ht="15.75" customHeight="1">
      <c r="C1602" s="47">
        <v>231101.0</v>
      </c>
      <c r="D1602" s="47" t="str">
        <f>VLOOKUP(C1602,'Equalização'!E:J,6,0)</f>
        <v>#N/A</v>
      </c>
    </row>
    <row r="1603" ht="15.75" customHeight="1">
      <c r="C1603" s="47">
        <v>213230.0</v>
      </c>
      <c r="D1603" s="47" t="str">
        <f>VLOOKUP(C1603,'Equalização'!E:J,6,0)</f>
        <v>#N/A</v>
      </c>
    </row>
    <row r="1604" ht="15.75" customHeight="1">
      <c r="C1604" s="47">
        <v>53848.0</v>
      </c>
      <c r="D1604" s="47" t="str">
        <f>VLOOKUP(C1604,'Equalização'!E:J,6,0)</f>
        <v>#N/A</v>
      </c>
    </row>
    <row r="1605" ht="15.75" customHeight="1">
      <c r="C1605" s="47">
        <v>147084.0</v>
      </c>
      <c r="D1605" s="47" t="str">
        <f>VLOOKUP(C1605,'Equalização'!E:J,6,0)</f>
        <v>#N/A</v>
      </c>
    </row>
    <row r="1606" ht="15.75" customHeight="1">
      <c r="C1606" s="47">
        <v>226987.0</v>
      </c>
      <c r="D1606" s="47" t="str">
        <f>VLOOKUP(C1606,'Equalização'!E:J,6,0)</f>
        <v>#N/A</v>
      </c>
    </row>
    <row r="1607" ht="15.75" customHeight="1">
      <c r="C1607" s="47">
        <v>226302.0</v>
      </c>
      <c r="D1607" s="47" t="str">
        <f>VLOOKUP(C1607,'Equalização'!E:J,6,0)</f>
        <v>#N/A</v>
      </c>
    </row>
    <row r="1608" ht="15.75" customHeight="1">
      <c r="C1608" s="47">
        <v>210537.0</v>
      </c>
      <c r="D1608" s="47" t="str">
        <f>VLOOKUP(C1608,'Equalização'!E:J,6,0)</f>
        <v>#N/A</v>
      </c>
    </row>
    <row r="1609" ht="15.75" customHeight="1">
      <c r="C1609" s="47">
        <v>222987.0</v>
      </c>
      <c r="D1609" s="47" t="str">
        <f>VLOOKUP(C1609,'Equalização'!E:J,6,0)</f>
        <v>#N/A</v>
      </c>
    </row>
    <row r="1610" ht="15.75" customHeight="1">
      <c r="C1610" s="47">
        <v>213100.0</v>
      </c>
      <c r="D1610" s="47" t="str">
        <f>VLOOKUP(C1610,'Equalização'!E:J,6,0)</f>
        <v>#N/A</v>
      </c>
    </row>
    <row r="1611" ht="15.75" customHeight="1">
      <c r="C1611" s="47">
        <v>225649.0</v>
      </c>
      <c r="D1611" s="47" t="str">
        <f>VLOOKUP(C1611,'Equalização'!E:J,6,0)</f>
        <v>#N/A</v>
      </c>
    </row>
    <row r="1612" ht="15.75" customHeight="1">
      <c r="C1612" s="47">
        <v>227749.0</v>
      </c>
      <c r="D1612" s="47" t="str">
        <f>VLOOKUP(C1612,'Equalização'!E:J,6,0)</f>
        <v>#N/A</v>
      </c>
    </row>
    <row r="1613" ht="15.75" customHeight="1">
      <c r="C1613" s="47">
        <v>231014.0</v>
      </c>
      <c r="D1613" s="47" t="str">
        <f>VLOOKUP(C1613,'Equalização'!E:J,6,0)</f>
        <v>#N/A</v>
      </c>
    </row>
    <row r="1614" ht="15.75" customHeight="1">
      <c r="C1614" s="47">
        <v>237766.0</v>
      </c>
      <c r="D1614" s="47" t="str">
        <f>VLOOKUP(C1614,'Equalização'!E:J,6,0)</f>
        <v>#N/A</v>
      </c>
    </row>
    <row r="1615" ht="15.75" customHeight="1">
      <c r="C1615" s="47">
        <v>231072.0</v>
      </c>
      <c r="D1615" s="47" t="str">
        <f>VLOOKUP(C1615,'Equalização'!E:J,6,0)</f>
        <v>#N/A</v>
      </c>
    </row>
    <row r="1616" ht="15.75" customHeight="1">
      <c r="C1616" s="47">
        <v>240042.0</v>
      </c>
      <c r="D1616" s="47" t="str">
        <f>VLOOKUP(C1616,'Equalização'!E:J,6,0)</f>
        <v>#N/A</v>
      </c>
    </row>
    <row r="1617" ht="15.75" customHeight="1">
      <c r="C1617" s="47">
        <v>225706.0</v>
      </c>
      <c r="D1617" s="47" t="str">
        <f>VLOOKUP(C1617,'Equalização'!E:J,6,0)</f>
        <v>#N/A</v>
      </c>
    </row>
    <row r="1618" ht="15.75" customHeight="1">
      <c r="C1618" s="47">
        <v>225878.0</v>
      </c>
      <c r="D1618" s="47" t="str">
        <f>VLOOKUP(C1618,'Equalização'!E:J,6,0)</f>
        <v>#N/A</v>
      </c>
    </row>
    <row r="1619" ht="15.75" customHeight="1">
      <c r="C1619" s="47">
        <v>205911.0</v>
      </c>
      <c r="D1619" s="47" t="str">
        <f>VLOOKUP(C1619,'Equalização'!E:J,6,0)</f>
        <v>#N/A</v>
      </c>
    </row>
    <row r="1620" ht="15.75" customHeight="1">
      <c r="C1620" s="47">
        <v>213311.0</v>
      </c>
      <c r="D1620" s="47" t="str">
        <f>VLOOKUP(C1620,'Equalização'!E:J,6,0)</f>
        <v>#N/A</v>
      </c>
    </row>
    <row r="1621" ht="15.75" customHeight="1">
      <c r="C1621" s="47">
        <v>158884.0</v>
      </c>
      <c r="D1621" s="47" t="str">
        <f>VLOOKUP(C1621,'Equalização'!E:J,6,0)</f>
        <v>#N/A</v>
      </c>
    </row>
    <row r="1622" ht="15.75" customHeight="1">
      <c r="C1622" s="47">
        <v>55000.0</v>
      </c>
      <c r="D1622" s="47" t="str">
        <f>VLOOKUP(C1622,'Equalização'!E:J,6,0)</f>
        <v>#N/A</v>
      </c>
    </row>
    <row r="1623" ht="15.75" customHeight="1">
      <c r="C1623" s="47">
        <v>231099.0</v>
      </c>
      <c r="D1623" s="47" t="str">
        <f>VLOOKUP(C1623,'Equalização'!E:J,6,0)</f>
        <v>#N/A</v>
      </c>
    </row>
    <row r="1624" ht="15.75" customHeight="1">
      <c r="C1624" s="47">
        <v>211338.0</v>
      </c>
      <c r="D1624" s="47" t="str">
        <f>VLOOKUP(C1624,'Equalização'!E:J,6,0)</f>
        <v>#N/A</v>
      </c>
    </row>
    <row r="1625" ht="15.75" customHeight="1">
      <c r="C1625" s="47">
        <v>207172.0</v>
      </c>
      <c r="D1625" s="47" t="str">
        <f>VLOOKUP(C1625,'Equalização'!E:J,6,0)</f>
        <v>#N/A</v>
      </c>
    </row>
    <row r="1626" ht="15.75" customHeight="1">
      <c r="C1626" s="47">
        <v>219712.0</v>
      </c>
      <c r="D1626" s="47" t="str">
        <f>VLOOKUP(C1626,'Equalização'!E:J,6,0)</f>
        <v>#N/A</v>
      </c>
    </row>
    <row r="1627" ht="15.75" customHeight="1">
      <c r="C1627" s="47">
        <v>51470.0</v>
      </c>
      <c r="D1627" s="47" t="str">
        <f>VLOOKUP(C1627,'Equalização'!E:J,6,0)</f>
        <v>#N/A</v>
      </c>
    </row>
    <row r="1628" ht="15.75" customHeight="1">
      <c r="C1628" s="47">
        <v>120952.0</v>
      </c>
      <c r="D1628" s="47" t="str">
        <f>VLOOKUP(C1628,'Equalização'!E:J,6,0)</f>
        <v>#N/A</v>
      </c>
    </row>
    <row r="1629" ht="15.75" customHeight="1">
      <c r="C1629" s="47">
        <v>231011.0</v>
      </c>
      <c r="D1629" s="47" t="str">
        <f>VLOOKUP(C1629,'Equalização'!E:J,6,0)</f>
        <v>#N/A</v>
      </c>
    </row>
    <row r="1630" ht="15.75" customHeight="1">
      <c r="C1630" s="47">
        <v>226327.0</v>
      </c>
      <c r="D1630" s="47" t="str">
        <f>VLOOKUP(C1630,'Equalização'!E:J,6,0)</f>
        <v>#N/A</v>
      </c>
    </row>
    <row r="1631" ht="15.75" customHeight="1">
      <c r="C1631" s="47">
        <v>231037.0</v>
      </c>
      <c r="D1631" s="47" t="str">
        <f>VLOOKUP(C1631,'Equalização'!E:J,6,0)</f>
        <v>#N/A</v>
      </c>
    </row>
    <row r="1632" ht="15.75" customHeight="1">
      <c r="C1632" s="47">
        <v>231038.0</v>
      </c>
      <c r="D1632" s="47" t="str">
        <f>VLOOKUP(C1632,'Equalização'!E:J,6,0)</f>
        <v>#N/A</v>
      </c>
    </row>
    <row r="1633" ht="15.75" customHeight="1">
      <c r="C1633" s="47">
        <v>231041.0</v>
      </c>
      <c r="D1633" s="47" t="str">
        <f>VLOOKUP(C1633,'Equalização'!E:J,6,0)</f>
        <v>#N/A</v>
      </c>
    </row>
    <row r="1634" ht="15.75" customHeight="1">
      <c r="C1634" s="47">
        <v>231045.0</v>
      </c>
      <c r="D1634" s="47" t="str">
        <f>VLOOKUP(C1634,'Equalização'!E:J,6,0)</f>
        <v>#N/A</v>
      </c>
    </row>
    <row r="1635" ht="15.75" customHeight="1">
      <c r="C1635" s="47">
        <v>231056.0</v>
      </c>
      <c r="D1635" s="47" t="str">
        <f>VLOOKUP(C1635,'Equalização'!E:J,6,0)</f>
        <v>#N/A</v>
      </c>
    </row>
    <row r="1636" ht="15.75" customHeight="1">
      <c r="C1636" s="47">
        <v>231057.0</v>
      </c>
      <c r="D1636" s="47" t="str">
        <f>VLOOKUP(C1636,'Equalização'!E:J,6,0)</f>
        <v>#N/A</v>
      </c>
    </row>
    <row r="1637" ht="15.75" customHeight="1">
      <c r="C1637" s="47">
        <v>231059.0</v>
      </c>
      <c r="D1637" s="47" t="str">
        <f>VLOOKUP(C1637,'Equalização'!E:J,6,0)</f>
        <v>#N/A</v>
      </c>
    </row>
    <row r="1638" ht="15.75" customHeight="1">
      <c r="C1638" s="47">
        <v>231060.0</v>
      </c>
      <c r="D1638" s="47" t="str">
        <f>VLOOKUP(C1638,'Equalização'!E:J,6,0)</f>
        <v>#N/A</v>
      </c>
    </row>
    <row r="1639" ht="15.75" customHeight="1">
      <c r="C1639" s="47">
        <v>231068.0</v>
      </c>
      <c r="D1639" s="47" t="str">
        <f>VLOOKUP(C1639,'Equalização'!E:J,6,0)</f>
        <v>#N/A</v>
      </c>
    </row>
    <row r="1640" ht="15.75" customHeight="1">
      <c r="C1640" s="47">
        <v>195742.0</v>
      </c>
      <c r="D1640" s="47" t="str">
        <f>VLOOKUP(C1640,'Equalização'!E:J,6,0)</f>
        <v>#N/A</v>
      </c>
    </row>
    <row r="1641" ht="15.75" customHeight="1">
      <c r="C1641" s="47">
        <v>221241.0</v>
      </c>
      <c r="D1641" s="47" t="str">
        <f>VLOOKUP(C1641,'Equalização'!E:J,6,0)</f>
        <v>#N/A</v>
      </c>
    </row>
    <row r="1642" ht="15.75" customHeight="1">
      <c r="C1642" s="47">
        <v>221267.0</v>
      </c>
      <c r="D1642" s="47" t="str">
        <f>VLOOKUP(C1642,'Equalização'!E:J,6,0)</f>
        <v>#N/A</v>
      </c>
    </row>
    <row r="1643" ht="15.75" customHeight="1">
      <c r="C1643" s="47">
        <v>206038.0</v>
      </c>
      <c r="D1643" s="47" t="str">
        <f>VLOOKUP(C1643,'Equalização'!E:J,6,0)</f>
        <v>#N/A</v>
      </c>
    </row>
    <row r="1644" ht="15.75" customHeight="1">
      <c r="C1644" s="47">
        <v>220168.0</v>
      </c>
      <c r="D1644" s="47" t="str">
        <f>VLOOKUP(C1644,'Equalização'!E:J,6,0)</f>
        <v>#N/A</v>
      </c>
    </row>
    <row r="1645" ht="15.75" customHeight="1">
      <c r="C1645" s="47">
        <v>225844.0</v>
      </c>
      <c r="D1645" s="47" t="str">
        <f>VLOOKUP(C1645,'Equalização'!E:J,6,0)</f>
        <v>#N/A</v>
      </c>
    </row>
    <row r="1646" ht="15.75" customHeight="1">
      <c r="C1646" s="47">
        <v>141430.0</v>
      </c>
      <c r="D1646" s="47" t="str">
        <f>VLOOKUP(C1646,'Equalização'!E:J,6,0)</f>
        <v>#N/A</v>
      </c>
    </row>
    <row r="1647" ht="15.75" customHeight="1">
      <c r="C1647" s="47">
        <v>137465.0</v>
      </c>
      <c r="D1647" s="47" t="str">
        <f>VLOOKUP(C1647,'Equalização'!E:J,6,0)</f>
        <v>#N/A</v>
      </c>
    </row>
    <row r="1648" ht="15.75" customHeight="1">
      <c r="C1648" s="47">
        <v>231006.0</v>
      </c>
      <c r="D1648" s="47" t="str">
        <f>VLOOKUP(C1648,'Equalização'!E:J,6,0)</f>
        <v>#N/A</v>
      </c>
    </row>
    <row r="1649" ht="15.75" customHeight="1">
      <c r="C1649" s="47">
        <v>227745.0</v>
      </c>
      <c r="D1649" s="47" t="str">
        <f>VLOOKUP(C1649,'Equalização'!E:J,6,0)</f>
        <v>#N/A</v>
      </c>
    </row>
    <row r="1650" ht="15.75" customHeight="1">
      <c r="C1650" s="47">
        <v>225674.0</v>
      </c>
      <c r="D1650" s="47" t="str">
        <f>VLOOKUP(C1650,'Equalização'!E:J,6,0)</f>
        <v>#N/A</v>
      </c>
    </row>
    <row r="1651" ht="15.75" customHeight="1">
      <c r="C1651" s="47">
        <v>230796.0</v>
      </c>
      <c r="D1651" s="47" t="str">
        <f>VLOOKUP(C1651,'Equalização'!E:J,6,0)</f>
        <v>#N/A</v>
      </c>
    </row>
    <row r="1652" ht="15.75" customHeight="1">
      <c r="C1652" s="47">
        <v>230798.0</v>
      </c>
      <c r="D1652" s="47" t="str">
        <f>VLOOKUP(C1652,'Equalização'!E:J,6,0)</f>
        <v>#N/A</v>
      </c>
    </row>
    <row r="1653" ht="15.75" customHeight="1">
      <c r="C1653" s="47">
        <v>230802.0</v>
      </c>
      <c r="D1653" s="47" t="str">
        <f>VLOOKUP(C1653,'Equalização'!E:J,6,0)</f>
        <v>#N/A</v>
      </c>
    </row>
    <row r="1654" ht="15.75" customHeight="1">
      <c r="C1654" s="47">
        <v>230803.0</v>
      </c>
      <c r="D1654" s="47" t="str">
        <f>VLOOKUP(C1654,'Equalização'!E:J,6,0)</f>
        <v>#N/A</v>
      </c>
    </row>
    <row r="1655" ht="15.75" customHeight="1">
      <c r="C1655" s="47">
        <v>211633.0</v>
      </c>
      <c r="D1655" s="47" t="str">
        <f>VLOOKUP(C1655,'Equalização'!E:J,6,0)</f>
        <v>#N/A</v>
      </c>
    </row>
    <row r="1656" ht="15.75" customHeight="1">
      <c r="C1656" s="47">
        <v>225748.0</v>
      </c>
      <c r="D1656" s="47" t="str">
        <f>VLOOKUP(C1656,'Equalização'!E:J,6,0)</f>
        <v>#N/A</v>
      </c>
    </row>
    <row r="1657" ht="15.75" customHeight="1">
      <c r="C1657" s="47">
        <v>207190.0</v>
      </c>
      <c r="D1657" s="47" t="str">
        <f>VLOOKUP(C1657,'Equalização'!E:J,6,0)</f>
        <v>#N/A</v>
      </c>
    </row>
    <row r="1658" ht="15.75" customHeight="1">
      <c r="C1658" s="47">
        <v>207754.0</v>
      </c>
      <c r="D1658" s="47" t="str">
        <f>VLOOKUP(C1658,'Equalização'!E:J,6,0)</f>
        <v>#N/A</v>
      </c>
    </row>
    <row r="1659" ht="15.75" customHeight="1">
      <c r="C1659" s="47">
        <v>240376.0</v>
      </c>
      <c r="D1659" s="47" t="str">
        <f>VLOOKUP(C1659,'Equalização'!E:J,6,0)</f>
        <v>#N/A</v>
      </c>
    </row>
    <row r="1660" ht="15.75" customHeight="1">
      <c r="C1660" s="47">
        <v>210795.0</v>
      </c>
      <c r="D1660" s="47" t="str">
        <f>VLOOKUP(C1660,'Equalização'!E:J,6,0)</f>
        <v>#N/A</v>
      </c>
    </row>
    <row r="1661" ht="15.75" customHeight="1">
      <c r="C1661" s="47">
        <v>225841.0</v>
      </c>
      <c r="D1661" s="47" t="str">
        <f>VLOOKUP(C1661,'Equalização'!E:J,6,0)</f>
        <v>#N/A</v>
      </c>
    </row>
    <row r="1662" ht="15.75" customHeight="1">
      <c r="C1662" s="47">
        <v>226222.0</v>
      </c>
      <c r="D1662" s="47" t="str">
        <f>VLOOKUP(C1662,'Equalização'!E:J,6,0)</f>
        <v>#N/A</v>
      </c>
    </row>
    <row r="1663" ht="15.75" customHeight="1">
      <c r="C1663" s="47">
        <v>225756.0</v>
      </c>
      <c r="D1663" s="47" t="str">
        <f>VLOOKUP(C1663,'Equalização'!E:J,6,0)</f>
        <v>#N/A</v>
      </c>
    </row>
    <row r="1664" ht="15.75" customHeight="1">
      <c r="C1664" s="47">
        <v>226273.0</v>
      </c>
      <c r="D1664" s="47" t="str">
        <f>VLOOKUP(C1664,'Equalização'!E:J,6,0)</f>
        <v>#N/A</v>
      </c>
    </row>
    <row r="1665" ht="15.75" customHeight="1">
      <c r="C1665" s="47">
        <v>212999.0</v>
      </c>
      <c r="D1665" s="47" t="str">
        <f>VLOOKUP(C1665,'Equalização'!E:J,6,0)</f>
        <v>#N/A</v>
      </c>
    </row>
    <row r="1666" ht="15.75" customHeight="1">
      <c r="C1666" s="47">
        <v>142530.0</v>
      </c>
      <c r="D1666" s="47" t="str">
        <f>VLOOKUP(C1666,'Equalização'!E:J,6,0)</f>
        <v>#N/A</v>
      </c>
    </row>
    <row r="1667" ht="15.75" customHeight="1">
      <c r="C1667" s="47">
        <v>225817.0</v>
      </c>
      <c r="D1667" s="47" t="str">
        <f>VLOOKUP(C1667,'Equalização'!E:J,6,0)</f>
        <v>#N/A</v>
      </c>
    </row>
    <row r="1668" ht="15.75" customHeight="1">
      <c r="C1668" s="47">
        <v>226331.0</v>
      </c>
      <c r="D1668" s="47" t="str">
        <f>VLOOKUP(C1668,'Equalização'!E:J,6,0)</f>
        <v>#N/A</v>
      </c>
    </row>
    <row r="1669" ht="15.75" customHeight="1">
      <c r="C1669" s="47">
        <v>226220.0</v>
      </c>
      <c r="D1669" s="47" t="str">
        <f>VLOOKUP(C1669,'Equalização'!E:J,6,0)</f>
        <v>#N/A</v>
      </c>
    </row>
    <row r="1670" ht="15.75" customHeight="1">
      <c r="C1670" s="47">
        <v>207223.0</v>
      </c>
      <c r="D1670" s="47" t="str">
        <f>VLOOKUP(C1670,'Equalização'!E:J,6,0)</f>
        <v>#N/A</v>
      </c>
    </row>
    <row r="1671" ht="15.75" customHeight="1">
      <c r="C1671" s="47">
        <v>231086.0</v>
      </c>
      <c r="D1671" s="47" t="str">
        <f>VLOOKUP(C1671,'Equalização'!E:J,6,0)</f>
        <v>#N/A</v>
      </c>
    </row>
    <row r="1672" ht="15.75" customHeight="1">
      <c r="C1672" s="47">
        <v>231082.0</v>
      </c>
      <c r="D1672" s="47" t="str">
        <f>VLOOKUP(C1672,'Equalização'!E:J,6,0)</f>
        <v>#N/A</v>
      </c>
    </row>
    <row r="1673" ht="15.75" customHeight="1">
      <c r="C1673" s="47">
        <v>162000.0</v>
      </c>
      <c r="D1673" s="47" t="str">
        <f>VLOOKUP(C1673,'Equalização'!E:J,6,0)</f>
        <v>#N/A</v>
      </c>
    </row>
    <row r="1674" ht="15.75" customHeight="1">
      <c r="C1674" s="47">
        <v>231098.0</v>
      </c>
      <c r="D1674" s="47" t="str">
        <f>VLOOKUP(C1674,'Equalização'!E:J,6,0)</f>
        <v>#N/A</v>
      </c>
    </row>
    <row r="1675" ht="15.75" customHeight="1">
      <c r="C1675" s="47">
        <v>210969.0</v>
      </c>
      <c r="D1675" s="47" t="str">
        <f>VLOOKUP(C1675,'Equalização'!E:J,6,0)</f>
        <v>#N/A</v>
      </c>
    </row>
    <row r="1676" ht="15.75" customHeight="1">
      <c r="C1676" s="47">
        <v>238606.0</v>
      </c>
      <c r="D1676" s="47" t="str">
        <f>VLOOKUP(C1676,'Equalização'!E:J,6,0)</f>
        <v>#N/A</v>
      </c>
    </row>
    <row r="1677" ht="15.75" customHeight="1">
      <c r="C1677" s="47">
        <v>225848.0</v>
      </c>
      <c r="D1677" s="47" t="str">
        <f>VLOOKUP(C1677,'Equalização'!E:J,6,0)</f>
        <v>#N/A</v>
      </c>
    </row>
    <row r="1678" ht="15.75" customHeight="1">
      <c r="C1678" s="47">
        <v>169049.0</v>
      </c>
      <c r="D1678" s="47" t="str">
        <f>VLOOKUP(C1678,'Equalização'!E:J,6,0)</f>
        <v>#N/A</v>
      </c>
    </row>
    <row r="1679" ht="15.75" customHeight="1">
      <c r="C1679" s="47">
        <v>225845.0</v>
      </c>
      <c r="D1679" s="47" t="str">
        <f>VLOOKUP(C1679,'Equalização'!E:J,6,0)</f>
        <v>#N/A</v>
      </c>
    </row>
    <row r="1680" ht="15.75" customHeight="1">
      <c r="C1680" s="47">
        <v>240746.0</v>
      </c>
      <c r="D1680" s="47" t="str">
        <f>VLOOKUP(C1680,'Equalização'!E:J,6,0)</f>
        <v>#N/A</v>
      </c>
    </row>
    <row r="1681" ht="15.75" customHeight="1">
      <c r="C1681" s="47">
        <v>240433.0</v>
      </c>
      <c r="D1681" s="47" t="str">
        <f>VLOOKUP(C1681,'Equalização'!E:J,6,0)</f>
        <v>#N/A</v>
      </c>
    </row>
    <row r="1682" ht="15.75" customHeight="1">
      <c r="C1682" s="47">
        <v>58017.0</v>
      </c>
      <c r="D1682" s="47" t="str">
        <f>VLOOKUP(C1682,'Equalização'!E:J,6,0)</f>
        <v>#N/A</v>
      </c>
    </row>
    <row r="1683" ht="15.75" customHeight="1">
      <c r="C1683" s="47">
        <v>226218.0</v>
      </c>
      <c r="D1683" s="47" t="str">
        <f>VLOOKUP(C1683,'Equalização'!E:J,6,0)</f>
        <v>#N/A</v>
      </c>
    </row>
    <row r="1684" ht="15.75" customHeight="1">
      <c r="C1684" s="47">
        <v>236962.0</v>
      </c>
      <c r="D1684" s="47" t="str">
        <f>VLOOKUP(C1684,'Equalização'!E:J,6,0)</f>
        <v>#N/A</v>
      </c>
    </row>
    <row r="1685" ht="15.75" customHeight="1">
      <c r="C1685" s="47">
        <v>215693.0</v>
      </c>
      <c r="D1685" s="47" t="str">
        <f>VLOOKUP(C1685,'Equalização'!E:J,6,0)</f>
        <v>#N/A</v>
      </c>
    </row>
    <row r="1686" ht="15.75" customHeight="1">
      <c r="C1686" s="47">
        <v>118533.0</v>
      </c>
      <c r="D1686" s="47" t="str">
        <f>VLOOKUP(C1686,'Equalização'!E:J,6,0)</f>
        <v>#N/A</v>
      </c>
    </row>
    <row r="1687" ht="15.75" customHeight="1">
      <c r="C1687" s="47">
        <v>213092.0</v>
      </c>
      <c r="D1687" s="47" t="str">
        <f>VLOOKUP(C1687,'Equalização'!E:J,6,0)</f>
        <v>#N/A</v>
      </c>
    </row>
    <row r="1688" ht="15.75" customHeight="1">
      <c r="C1688" s="47">
        <v>226363.0</v>
      </c>
      <c r="D1688" s="47" t="str">
        <f>VLOOKUP(C1688,'Equalização'!E:J,6,0)</f>
        <v>#N/A</v>
      </c>
    </row>
    <row r="1689" ht="15.75" customHeight="1">
      <c r="C1689" s="47">
        <v>213029.0</v>
      </c>
      <c r="D1689" s="47" t="str">
        <f>VLOOKUP(C1689,'Equalização'!E:J,6,0)</f>
        <v>#N/A</v>
      </c>
    </row>
    <row r="1690" ht="15.75" customHeight="1">
      <c r="C1690" s="47">
        <v>209261.0</v>
      </c>
      <c r="D1690" s="47" t="str">
        <f>VLOOKUP(C1690,'Equalização'!E:J,6,0)</f>
        <v>#N/A</v>
      </c>
    </row>
    <row r="1691" ht="15.75" customHeight="1">
      <c r="C1691" s="47">
        <v>75426.0</v>
      </c>
      <c r="D1691" s="47" t="str">
        <f>VLOOKUP(C1691,'Equalização'!E:J,6,0)</f>
        <v>#N/A</v>
      </c>
    </row>
    <row r="1692" ht="15.75" customHeight="1">
      <c r="C1692" s="47">
        <v>191053.0</v>
      </c>
      <c r="D1692" s="47" t="str">
        <f>VLOOKUP(C1692,'Equalização'!E:J,6,0)</f>
        <v>#N/A</v>
      </c>
    </row>
    <row r="1693" ht="15.75" customHeight="1">
      <c r="C1693" s="47">
        <v>227535.0</v>
      </c>
      <c r="D1693" s="47" t="str">
        <f>VLOOKUP(C1693,'Equalização'!E:J,6,0)</f>
        <v>#N/A</v>
      </c>
    </row>
    <row r="1694" ht="15.75" customHeight="1">
      <c r="C1694" s="47">
        <v>227827.0</v>
      </c>
      <c r="D1694" s="47" t="str">
        <f>VLOOKUP(C1694,'Equalização'!E:J,6,0)</f>
        <v>#N/A</v>
      </c>
    </row>
    <row r="1695" ht="15.75" customHeight="1">
      <c r="C1695" s="47">
        <v>238614.0</v>
      </c>
      <c r="D1695" s="47" t="str">
        <f>VLOOKUP(C1695,'Equalização'!E:J,6,0)</f>
        <v>#N/A</v>
      </c>
    </row>
    <row r="1696" ht="15.75" customHeight="1">
      <c r="C1696" s="47">
        <v>226271.0</v>
      </c>
      <c r="D1696" s="47" t="str">
        <f>VLOOKUP(C1696,'Equalização'!E:J,6,0)</f>
        <v>#N/A</v>
      </c>
    </row>
    <row r="1697" ht="15.75" customHeight="1">
      <c r="C1697" s="47">
        <v>223896.0</v>
      </c>
      <c r="D1697" s="47" t="str">
        <f>VLOOKUP(C1697,'Equalização'!E:J,6,0)</f>
        <v>#N/A</v>
      </c>
    </row>
    <row r="1698" ht="15.75" customHeight="1">
      <c r="C1698" s="47">
        <v>240755.0</v>
      </c>
      <c r="D1698" s="47" t="str">
        <f>VLOOKUP(C1698,'Equalização'!E:J,6,0)</f>
        <v>#N/A</v>
      </c>
    </row>
    <row r="1699" ht="15.75" customHeight="1">
      <c r="C1699" s="47">
        <v>218097.0</v>
      </c>
      <c r="D1699" s="47" t="str">
        <f>VLOOKUP(C1699,'Equalização'!E:J,6,0)</f>
        <v>#N/A</v>
      </c>
    </row>
    <row r="1700" ht="15.75" customHeight="1">
      <c r="C1700" s="47">
        <v>214121.0</v>
      </c>
      <c r="D1700" s="47" t="str">
        <f>VLOOKUP(C1700,'Equalização'!E:J,6,0)</f>
        <v>#N/A</v>
      </c>
    </row>
    <row r="1701" ht="15.75" customHeight="1">
      <c r="C1701" s="47">
        <v>220101.0</v>
      </c>
      <c r="D1701" s="47" t="str">
        <f>VLOOKUP(C1701,'Equalização'!E:J,6,0)</f>
        <v>#N/A</v>
      </c>
    </row>
    <row r="1702" ht="15.75" customHeight="1">
      <c r="C1702" s="47">
        <v>225795.0</v>
      </c>
      <c r="D1702" s="47" t="str">
        <f>VLOOKUP(C1702,'Equalização'!E:J,6,0)</f>
        <v>#N/A</v>
      </c>
    </row>
    <row r="1703" ht="15.75" customHeight="1">
      <c r="C1703" s="47">
        <v>230959.0</v>
      </c>
      <c r="D1703" s="47" t="str">
        <f>VLOOKUP(C1703,'Equalização'!E:J,6,0)</f>
        <v>#N/A</v>
      </c>
    </row>
    <row r="1704" ht="15.75" customHeight="1">
      <c r="C1704" s="47">
        <v>231000.0</v>
      </c>
      <c r="D1704" s="47" t="str">
        <f>VLOOKUP(C1704,'Equalização'!E:J,6,0)</f>
        <v>#N/A</v>
      </c>
    </row>
    <row r="1705" ht="15.75" customHeight="1">
      <c r="C1705" s="47">
        <v>231001.0</v>
      </c>
      <c r="D1705" s="47" t="str">
        <f>VLOOKUP(C1705,'Equalização'!E:J,6,0)</f>
        <v>#N/A</v>
      </c>
    </row>
    <row r="1706" ht="15.75" customHeight="1">
      <c r="C1706" s="47">
        <v>231005.0</v>
      </c>
      <c r="D1706" s="47" t="str">
        <f>VLOOKUP(C1706,'Equalização'!E:J,6,0)</f>
        <v>#N/A</v>
      </c>
    </row>
    <row r="1707" ht="15.75" customHeight="1">
      <c r="C1707" s="47">
        <v>231036.0</v>
      </c>
      <c r="D1707" s="47" t="str">
        <f>VLOOKUP(C1707,'Equalização'!E:J,6,0)</f>
        <v>#N/A</v>
      </c>
    </row>
    <row r="1708" ht="15.75" customHeight="1">
      <c r="C1708" s="47">
        <v>231042.0</v>
      </c>
      <c r="D1708" s="47" t="str">
        <f>VLOOKUP(C1708,'Equalização'!E:J,6,0)</f>
        <v>#N/A</v>
      </c>
    </row>
    <row r="1709" ht="15.75" customHeight="1">
      <c r="C1709" s="47">
        <v>231043.0</v>
      </c>
      <c r="D1709" s="47" t="str">
        <f>VLOOKUP(C1709,'Equalização'!E:J,6,0)</f>
        <v>#N/A</v>
      </c>
    </row>
    <row r="1710" ht="15.75" customHeight="1">
      <c r="C1710" s="47">
        <v>231044.0</v>
      </c>
      <c r="D1710" s="47" t="str">
        <f>VLOOKUP(C1710,'Equalização'!E:J,6,0)</f>
        <v>#N/A</v>
      </c>
    </row>
    <row r="1711" ht="15.75" customHeight="1">
      <c r="C1711" s="47">
        <v>231046.0</v>
      </c>
      <c r="D1711" s="47" t="str">
        <f>VLOOKUP(C1711,'Equalização'!E:J,6,0)</f>
        <v>#N/A</v>
      </c>
    </row>
    <row r="1712" ht="15.75" customHeight="1">
      <c r="C1712" s="47">
        <v>231049.0</v>
      </c>
      <c r="D1712" s="47" t="str">
        <f>VLOOKUP(C1712,'Equalização'!E:J,6,0)</f>
        <v>#N/A</v>
      </c>
    </row>
    <row r="1713" ht="15.75" customHeight="1">
      <c r="C1713" s="47">
        <v>231052.0</v>
      </c>
      <c r="D1713" s="47" t="str">
        <f>VLOOKUP(C1713,'Equalização'!E:J,6,0)</f>
        <v>#N/A</v>
      </c>
    </row>
    <row r="1714" ht="15.75" customHeight="1">
      <c r="C1714" s="47">
        <v>231053.0</v>
      </c>
      <c r="D1714" s="47" t="str">
        <f>VLOOKUP(C1714,'Equalização'!E:J,6,0)</f>
        <v>#N/A</v>
      </c>
    </row>
    <row r="1715" ht="15.75" customHeight="1">
      <c r="C1715" s="47">
        <v>231054.0</v>
      </c>
      <c r="D1715" s="47" t="str">
        <f>VLOOKUP(C1715,'Equalização'!E:J,6,0)</f>
        <v>#N/A</v>
      </c>
    </row>
    <row r="1716" ht="15.75" customHeight="1">
      <c r="C1716" s="47">
        <v>231055.0</v>
      </c>
      <c r="D1716" s="47" t="str">
        <f>VLOOKUP(C1716,'Equalização'!E:J,6,0)</f>
        <v>#N/A</v>
      </c>
    </row>
    <row r="1717" ht="15.75" customHeight="1">
      <c r="C1717" s="47">
        <v>231061.0</v>
      </c>
      <c r="D1717" s="47" t="str">
        <f>VLOOKUP(C1717,'Equalização'!E:J,6,0)</f>
        <v>#N/A</v>
      </c>
    </row>
    <row r="1718" ht="15.75" customHeight="1">
      <c r="C1718" s="47">
        <v>231069.0</v>
      </c>
      <c r="D1718" s="47" t="str">
        <f>VLOOKUP(C1718,'Equalização'!E:J,6,0)</f>
        <v>#N/A</v>
      </c>
    </row>
    <row r="1719" ht="15.75" customHeight="1">
      <c r="C1719" s="47">
        <v>231078.0</v>
      </c>
      <c r="D1719" s="47" t="str">
        <f>VLOOKUP(C1719,'Equalização'!E:J,6,0)</f>
        <v>#N/A</v>
      </c>
    </row>
    <row r="1720" ht="15.75" customHeight="1">
      <c r="C1720" s="47">
        <v>231079.0</v>
      </c>
      <c r="D1720" s="47" t="str">
        <f>VLOOKUP(C1720,'Equalização'!E:J,6,0)</f>
        <v>#N/A</v>
      </c>
    </row>
    <row r="1721" ht="15.75" customHeight="1">
      <c r="C1721" s="47">
        <v>231105.0</v>
      </c>
      <c r="D1721" s="47" t="str">
        <f>VLOOKUP(C1721,'Equalização'!E:J,6,0)</f>
        <v>#N/A</v>
      </c>
    </row>
    <row r="1722" ht="15.75" customHeight="1">
      <c r="C1722" s="47">
        <v>231179.0</v>
      </c>
      <c r="D1722" s="47" t="str">
        <f>VLOOKUP(C1722,'Equalização'!E:J,6,0)</f>
        <v>#N/A</v>
      </c>
    </row>
    <row r="1723" ht="15.75" customHeight="1">
      <c r="C1723" s="47">
        <v>231180.0</v>
      </c>
      <c r="D1723" s="47" t="str">
        <f>VLOOKUP(C1723,'Equalização'!E:J,6,0)</f>
        <v>#N/A</v>
      </c>
    </row>
    <row r="1724" ht="15.75" customHeight="1">
      <c r="C1724" s="47">
        <v>231181.0</v>
      </c>
      <c r="D1724" s="47" t="str">
        <f>VLOOKUP(C1724,'Equalização'!E:J,6,0)</f>
        <v>#N/A</v>
      </c>
    </row>
    <row r="1725" ht="15.75" customHeight="1">
      <c r="C1725" s="47">
        <v>180401.0</v>
      </c>
      <c r="D1725" s="47" t="str">
        <f>VLOOKUP(C1725,'Equalização'!E:J,6,0)</f>
        <v>#N/A</v>
      </c>
    </row>
    <row r="1726" ht="15.75" customHeight="1">
      <c r="C1726" s="47">
        <v>150276.0</v>
      </c>
      <c r="D1726" s="47" t="str">
        <f>VLOOKUP(C1726,'Equalização'!E:J,6,0)</f>
        <v>#N/A</v>
      </c>
    </row>
    <row r="1727" ht="15.75" customHeight="1">
      <c r="C1727" s="47">
        <v>240498.0</v>
      </c>
      <c r="D1727" s="47" t="str">
        <f>VLOOKUP(C1727,'Equalização'!E:J,6,0)</f>
        <v>#N/A</v>
      </c>
    </row>
    <row r="1728" ht="15.75" customHeight="1">
      <c r="C1728" s="47">
        <v>225734.0</v>
      </c>
      <c r="D1728" s="47" t="str">
        <f>VLOOKUP(C1728,'Equalização'!E:J,6,0)</f>
        <v>#N/A</v>
      </c>
    </row>
    <row r="1729" ht="15.75" customHeight="1">
      <c r="C1729" s="47">
        <v>194597.0</v>
      </c>
      <c r="D1729" s="47" t="str">
        <f>VLOOKUP(C1729,'Equalização'!E:J,6,0)</f>
        <v>#N/A</v>
      </c>
    </row>
    <row r="1730" ht="15.75" customHeight="1">
      <c r="C1730" s="47">
        <v>239296.0</v>
      </c>
      <c r="D1730" s="47" t="str">
        <f>VLOOKUP(C1730,'Equalização'!E:J,6,0)</f>
        <v>#N/A</v>
      </c>
    </row>
    <row r="1731" ht="15.75" customHeight="1">
      <c r="C1731" s="47">
        <v>213226.0</v>
      </c>
      <c r="D1731" s="47" t="str">
        <f>VLOOKUP(C1731,'Equalização'!E:J,6,0)</f>
        <v>#N/A</v>
      </c>
    </row>
    <row r="1732" ht="15.75" customHeight="1">
      <c r="C1732" s="47">
        <v>210265.0</v>
      </c>
      <c r="D1732" s="47" t="str">
        <f>VLOOKUP(C1732,'Equalização'!E:J,6,0)</f>
        <v>#N/A</v>
      </c>
    </row>
    <row r="1733" ht="15.75" customHeight="1">
      <c r="C1733" s="47">
        <v>222460.0</v>
      </c>
      <c r="D1733" s="47" t="str">
        <f>VLOOKUP(C1733,'Equalização'!E:J,6,0)</f>
        <v>#N/A</v>
      </c>
    </row>
    <row r="1734" ht="15.75" customHeight="1">
      <c r="C1734" s="47">
        <v>207811.0</v>
      </c>
      <c r="D1734" s="47" t="str">
        <f>VLOOKUP(C1734,'Equalização'!E:J,6,0)</f>
        <v>#N/A</v>
      </c>
    </row>
    <row r="1735" ht="15.75" customHeight="1">
      <c r="C1735" s="47">
        <v>237765.0</v>
      </c>
      <c r="D1735" s="47" t="str">
        <f>VLOOKUP(C1735,'Equalização'!E:J,6,0)</f>
        <v>#N/A</v>
      </c>
    </row>
    <row r="1736" ht="15.75" customHeight="1">
      <c r="C1736" s="47">
        <v>238611.0</v>
      </c>
      <c r="D1736" s="47" t="str">
        <f>VLOOKUP(C1736,'Equalização'!E:J,6,0)</f>
        <v>#N/A</v>
      </c>
    </row>
    <row r="1737" ht="15.75" customHeight="1">
      <c r="C1737" s="47">
        <v>239442.0</v>
      </c>
      <c r="D1737" s="47" t="str">
        <f>VLOOKUP(C1737,'Equalização'!E:J,6,0)</f>
        <v>#N/A</v>
      </c>
    </row>
    <row r="1738" ht="15.75" customHeight="1">
      <c r="C1738" s="47">
        <v>213011.0</v>
      </c>
      <c r="D1738" s="47" t="str">
        <f>VLOOKUP(C1738,'Equalização'!E:J,6,0)</f>
        <v>#N/A</v>
      </c>
    </row>
    <row r="1739" ht="15.75" customHeight="1">
      <c r="C1739" s="47">
        <v>227738.0</v>
      </c>
      <c r="D1739" s="47" t="str">
        <f>VLOOKUP(C1739,'Equalização'!E:J,6,0)</f>
        <v>#N/A</v>
      </c>
    </row>
    <row r="1740" ht="15.75" customHeight="1">
      <c r="C1740" s="47">
        <v>219713.0</v>
      </c>
      <c r="D1740" s="47" t="str">
        <f>VLOOKUP(C1740,'Equalização'!E:J,6,0)</f>
        <v>#N/A</v>
      </c>
    </row>
    <row r="1741" ht="15.75" customHeight="1">
      <c r="C1741" s="47">
        <v>236271.0</v>
      </c>
      <c r="D1741" s="47" t="str">
        <f>VLOOKUP(C1741,'Equalização'!E:J,6,0)</f>
        <v>#N/A</v>
      </c>
    </row>
    <row r="1742" ht="15.75" customHeight="1">
      <c r="C1742" s="47">
        <v>212076.0</v>
      </c>
      <c r="D1742" s="47" t="str">
        <f>VLOOKUP(C1742,'Equalização'!E:J,6,0)</f>
        <v>#N/A</v>
      </c>
    </row>
    <row r="1743" ht="15.75" customHeight="1">
      <c r="C1743" s="47">
        <v>225684.0</v>
      </c>
      <c r="D1743" s="47" t="str">
        <f>VLOOKUP(C1743,'Equalização'!E:J,6,0)</f>
        <v>#N/A</v>
      </c>
    </row>
    <row r="1744" ht="15.75" customHeight="1">
      <c r="C1744" s="47">
        <v>221766.0</v>
      </c>
      <c r="D1744" s="47" t="str">
        <f>VLOOKUP(C1744,'Equalização'!E:J,6,0)</f>
        <v>#N/A</v>
      </c>
    </row>
    <row r="1745" ht="15.75" customHeight="1">
      <c r="C1745" s="47">
        <v>237767.0</v>
      </c>
      <c r="D1745" s="47" t="str">
        <f>VLOOKUP(C1745,'Equalização'!E:J,6,0)</f>
        <v>#N/A</v>
      </c>
    </row>
    <row r="1746" ht="15.75" customHeight="1">
      <c r="C1746" s="47">
        <v>226330.0</v>
      </c>
      <c r="D1746" s="47" t="str">
        <f>VLOOKUP(C1746,'Equalização'!E:J,6,0)</f>
        <v>#N/A</v>
      </c>
    </row>
    <row r="1747" ht="15.75" customHeight="1">
      <c r="C1747" s="47">
        <v>225611.0</v>
      </c>
      <c r="D1747" s="47" t="str">
        <f>VLOOKUP(C1747,'Equalização'!E:J,6,0)</f>
        <v>#N/A</v>
      </c>
    </row>
    <row r="1748" ht="15.75" customHeight="1">
      <c r="C1748" s="47">
        <v>225936.0</v>
      </c>
      <c r="D1748" s="47" t="str">
        <f>VLOOKUP(C1748,'Equalização'!E:J,6,0)</f>
        <v>#N/A</v>
      </c>
    </row>
    <row r="1749" ht="15.75" customHeight="1">
      <c r="C1749" s="47">
        <v>221244.0</v>
      </c>
      <c r="D1749" s="47" t="str">
        <f>VLOOKUP(C1749,'Equalização'!E:J,6,0)</f>
        <v>#N/A</v>
      </c>
    </row>
    <row r="1750" ht="15.75" customHeight="1">
      <c r="C1750" s="47">
        <v>229913.0</v>
      </c>
      <c r="D1750" s="47" t="str">
        <f>VLOOKUP(C1750,'Equalização'!E:J,6,0)</f>
        <v>#N/A</v>
      </c>
    </row>
    <row r="1751" ht="15.75" customHeight="1">
      <c r="C1751" s="47">
        <v>56286.0</v>
      </c>
      <c r="D1751" s="47" t="str">
        <f>VLOOKUP(C1751,'Equalização'!E:J,6,0)</f>
        <v>#N/A</v>
      </c>
    </row>
    <row r="1752" ht="15.75" customHeight="1">
      <c r="C1752" s="47">
        <v>223313.0</v>
      </c>
      <c r="D1752" s="47" t="str">
        <f>VLOOKUP(C1752,'Equalização'!E:J,6,0)</f>
        <v>#N/A</v>
      </c>
    </row>
    <row r="1753" ht="15.75" customHeight="1">
      <c r="C1753" s="47">
        <v>211694.0</v>
      </c>
      <c r="D1753" s="47" t="str">
        <f>VLOOKUP(C1753,'Equalização'!E:J,6,0)</f>
        <v>#N/A</v>
      </c>
    </row>
    <row r="1754" ht="15.75" customHeight="1">
      <c r="C1754" s="47">
        <v>225751.0</v>
      </c>
      <c r="D1754" s="47" t="str">
        <f>VLOOKUP(C1754,'Equalização'!E:J,6,0)</f>
        <v>#N/A</v>
      </c>
    </row>
    <row r="1755" ht="15.75" customHeight="1">
      <c r="C1755" s="47">
        <v>83003.0</v>
      </c>
      <c r="D1755" s="47" t="str">
        <f>VLOOKUP(C1755,'Equalização'!E:J,6,0)</f>
        <v>#N/A</v>
      </c>
    </row>
    <row r="1756" ht="15.75" customHeight="1">
      <c r="C1756" s="47">
        <v>55840.0</v>
      </c>
      <c r="D1756" s="47" t="str">
        <f>VLOOKUP(C1756,'Equalização'!E:J,6,0)</f>
        <v>#N/A</v>
      </c>
    </row>
    <row r="1757" ht="15.75" customHeight="1">
      <c r="C1757" s="47">
        <v>206028.0</v>
      </c>
      <c r="D1757" s="47" t="str">
        <f>VLOOKUP(C1757,'Equalização'!E:J,6,0)</f>
        <v>#N/A</v>
      </c>
    </row>
    <row r="1758" ht="15.75" customHeight="1">
      <c r="C1758" s="47">
        <v>226173.0</v>
      </c>
      <c r="D1758" s="47" t="str">
        <f>VLOOKUP(C1758,'Equalização'!E:J,6,0)</f>
        <v>#N/A</v>
      </c>
    </row>
    <row r="1759" ht="15.75" customHeight="1">
      <c r="C1759" s="47">
        <v>221396.0</v>
      </c>
      <c r="D1759" s="47" t="str">
        <f>VLOOKUP(C1759,'Equalização'!E:J,6,0)</f>
        <v>#N/A</v>
      </c>
    </row>
    <row r="1760" ht="15.75" customHeight="1">
      <c r="C1760" s="47">
        <v>153148.0</v>
      </c>
      <c r="D1760" s="47" t="str">
        <f>VLOOKUP(C1760,'Equalização'!E:J,6,0)</f>
        <v>#N/A</v>
      </c>
    </row>
    <row r="1761" ht="15.75" customHeight="1">
      <c r="C1761" s="47">
        <v>219718.0</v>
      </c>
      <c r="D1761" s="47" t="str">
        <f>VLOOKUP(C1761,'Equalização'!E:J,6,0)</f>
        <v>#N/A</v>
      </c>
    </row>
    <row r="1762" ht="15.75" customHeight="1">
      <c r="C1762" s="47">
        <v>220177.0</v>
      </c>
      <c r="D1762" s="47" t="str">
        <f>VLOOKUP(C1762,'Equalização'!E:J,6,0)</f>
        <v>#N/A</v>
      </c>
    </row>
    <row r="1763" ht="15.75" customHeight="1">
      <c r="C1763" s="47">
        <v>240342.0</v>
      </c>
      <c r="D1763" s="47" t="str">
        <f>VLOOKUP(C1763,'Equalização'!E:J,6,0)</f>
        <v>#N/A</v>
      </c>
    </row>
    <row r="1764" ht="15.75" customHeight="1">
      <c r="C1764" s="47">
        <v>240409.0</v>
      </c>
      <c r="D1764" s="47" t="str">
        <f>VLOOKUP(C1764,'Equalização'!E:J,6,0)</f>
        <v>#N/A</v>
      </c>
    </row>
    <row r="1765" ht="15.75" customHeight="1">
      <c r="C1765" s="47">
        <v>206076.0</v>
      </c>
      <c r="D1765" s="47" t="str">
        <f>VLOOKUP(C1765,'Equalização'!E:J,6,0)</f>
        <v>#N/A</v>
      </c>
    </row>
    <row r="1766" ht="15.75" customHeight="1">
      <c r="C1766" s="47">
        <v>210583.0</v>
      </c>
      <c r="D1766" s="47" t="str">
        <f>VLOOKUP(C1766,'Equalização'!E:J,6,0)</f>
        <v>#N/A</v>
      </c>
    </row>
    <row r="1767" ht="15.75" customHeight="1">
      <c r="C1767" s="47">
        <v>240474.0</v>
      </c>
      <c r="D1767" s="47" t="str">
        <f>VLOOKUP(C1767,'Equalização'!E:J,6,0)</f>
        <v>#N/A</v>
      </c>
    </row>
    <row r="1768" ht="15.75" customHeight="1">
      <c r="C1768" s="47">
        <v>237785.0</v>
      </c>
      <c r="D1768" s="47" t="str">
        <f>VLOOKUP(C1768,'Equalização'!E:J,6,0)</f>
        <v>#N/A</v>
      </c>
    </row>
    <row r="1769" ht="15.75" customHeight="1">
      <c r="C1769" s="47">
        <v>205925.0</v>
      </c>
      <c r="D1769" s="47" t="str">
        <f>VLOOKUP(C1769,'Equalização'!E:J,6,0)</f>
        <v>#N/A</v>
      </c>
    </row>
    <row r="1770" ht="15.75" customHeight="1">
      <c r="C1770" s="47">
        <v>219717.0</v>
      </c>
      <c r="D1770" s="47" t="str">
        <f>VLOOKUP(C1770,'Equalização'!E:J,6,0)</f>
        <v>#N/A</v>
      </c>
    </row>
    <row r="1771" ht="15.75" customHeight="1">
      <c r="C1771" s="47">
        <v>225778.0</v>
      </c>
      <c r="D1771" s="47" t="str">
        <f>VLOOKUP(C1771,'Equalização'!E:J,6,0)</f>
        <v>#N/A</v>
      </c>
    </row>
    <row r="1772" ht="15.75" customHeight="1">
      <c r="C1772" s="47">
        <v>211142.0</v>
      </c>
      <c r="D1772" s="47" t="str">
        <f>VLOOKUP(C1772,'Equalização'!E:J,6,0)</f>
        <v>#N/A</v>
      </c>
    </row>
    <row r="1773" ht="15.75" customHeight="1">
      <c r="C1773" s="47">
        <v>240492.0</v>
      </c>
      <c r="D1773" s="47" t="str">
        <f>VLOOKUP(C1773,'Equalização'!E:J,6,0)</f>
        <v>#N/A</v>
      </c>
    </row>
    <row r="1774" ht="15.75" customHeight="1">
      <c r="C1774" s="47">
        <v>225686.0</v>
      </c>
      <c r="D1774" s="47" t="str">
        <f>VLOOKUP(C1774,'Equalização'!E:J,6,0)</f>
        <v>#N/A</v>
      </c>
    </row>
    <row r="1775" ht="15.75" customHeight="1">
      <c r="C1775" s="47">
        <v>149748.0</v>
      </c>
      <c r="D1775" s="47" t="str">
        <f>VLOOKUP(C1775,'Equalização'!E:J,6,0)</f>
        <v>#N/A</v>
      </c>
    </row>
    <row r="1776" ht="15.75" customHeight="1">
      <c r="C1776" s="47">
        <v>215014.0</v>
      </c>
      <c r="D1776" s="47" t="str">
        <f>VLOOKUP(C1776,'Equalização'!E:J,6,0)</f>
        <v>#N/A</v>
      </c>
    </row>
    <row r="1777" ht="15.75" customHeight="1">
      <c r="C1777" s="47">
        <v>213133.0</v>
      </c>
      <c r="D1777" s="47" t="str">
        <f>VLOOKUP(C1777,'Equalização'!E:J,6,0)</f>
        <v>#N/A</v>
      </c>
    </row>
    <row r="1778" ht="15.75" customHeight="1">
      <c r="C1778" s="47">
        <v>213366.0</v>
      </c>
      <c r="D1778" s="47" t="str">
        <f>VLOOKUP(C1778,'Equalização'!E:J,6,0)</f>
        <v>#N/A</v>
      </c>
    </row>
    <row r="1779" ht="15.75" customHeight="1">
      <c r="C1779" s="47">
        <v>51047.0</v>
      </c>
      <c r="D1779" s="47" t="str">
        <f>VLOOKUP(C1779,'Equalização'!E:J,6,0)</f>
        <v>#N/A</v>
      </c>
    </row>
    <row r="1780" ht="15.75" customHeight="1">
      <c r="C1780" s="47">
        <v>240742.0</v>
      </c>
      <c r="D1780" s="47" t="str">
        <f>VLOOKUP(C1780,'Equalização'!E:J,6,0)</f>
        <v>#N/A</v>
      </c>
    </row>
    <row r="1781" ht="15.75" customHeight="1">
      <c r="C1781" s="47">
        <v>121466.0</v>
      </c>
      <c r="D1781" s="47" t="str">
        <f>VLOOKUP(C1781,'Equalização'!E:J,6,0)</f>
        <v>#N/A</v>
      </c>
    </row>
    <row r="1782" ht="15.75" customHeight="1">
      <c r="C1782" s="47">
        <v>240753.0</v>
      </c>
      <c r="D1782" s="47" t="str">
        <f>VLOOKUP(C1782,'Equalização'!E:J,6,0)</f>
        <v>#N/A</v>
      </c>
    </row>
    <row r="1783" ht="15.75" customHeight="1">
      <c r="C1783" s="47">
        <v>213215.0</v>
      </c>
      <c r="D1783" s="47" t="str">
        <f>VLOOKUP(C1783,'Equalização'!E:J,6,0)</f>
        <v>#N/A</v>
      </c>
    </row>
    <row r="1784" ht="15.75" customHeight="1">
      <c r="C1784" s="47">
        <v>225767.0</v>
      </c>
      <c r="D1784" s="47" t="str">
        <f>VLOOKUP(C1784,'Equalização'!E:J,6,0)</f>
        <v>#N/A</v>
      </c>
    </row>
    <row r="1785" ht="15.75" customHeight="1">
      <c r="C1785" s="47">
        <v>153198.0</v>
      </c>
      <c r="D1785" s="47" t="str">
        <f>VLOOKUP(C1785,'Equalização'!E:J,6,0)</f>
        <v>#N/A</v>
      </c>
    </row>
    <row r="1786" ht="15.75" customHeight="1">
      <c r="C1786" s="47">
        <v>229543.0</v>
      </c>
      <c r="D1786" s="47" t="str">
        <f>VLOOKUP(C1786,'Equalização'!E:J,6,0)</f>
        <v>#N/A</v>
      </c>
    </row>
    <row r="1787" ht="15.75" customHeight="1">
      <c r="C1787" s="47">
        <v>240741.0</v>
      </c>
      <c r="D1787" s="47" t="str">
        <f>VLOOKUP(C1787,'Equalização'!E:J,6,0)</f>
        <v>#N/A</v>
      </c>
    </row>
    <row r="1788" ht="15.75" customHeight="1">
      <c r="C1788" s="47">
        <v>225559.0</v>
      </c>
      <c r="D1788" s="47" t="str">
        <f>VLOOKUP(C1788,'Equalização'!E:J,6,0)</f>
        <v>#N/A</v>
      </c>
    </row>
    <row r="1789" ht="15.75" customHeight="1">
      <c r="C1789" s="47">
        <v>207801.0</v>
      </c>
      <c r="D1789" s="47" t="str">
        <f>VLOOKUP(C1789,'Equalização'!E:J,6,0)</f>
        <v>#N/A</v>
      </c>
    </row>
    <row r="1790" ht="15.75" customHeight="1">
      <c r="C1790" s="47">
        <v>213132.0</v>
      </c>
      <c r="D1790" s="47" t="str">
        <f>VLOOKUP(C1790,'Equalização'!E:J,6,0)</f>
        <v>#N/A</v>
      </c>
    </row>
    <row r="1791" ht="15.75" customHeight="1">
      <c r="C1791" s="47">
        <v>225733.0</v>
      </c>
      <c r="D1791" s="47" t="str">
        <f>VLOOKUP(C1791,'Equalização'!E:J,6,0)</f>
        <v>#N/A</v>
      </c>
    </row>
    <row r="1792" ht="15.75" customHeight="1">
      <c r="C1792" s="47">
        <v>206027.0</v>
      </c>
      <c r="D1792" s="47" t="str">
        <f>VLOOKUP(C1792,'Equalização'!E:J,6,0)</f>
        <v>#N/A</v>
      </c>
    </row>
    <row r="1793" ht="15.75" customHeight="1">
      <c r="C1793" s="47">
        <v>238605.0</v>
      </c>
      <c r="D1793" s="47" t="str">
        <f>VLOOKUP(C1793,'Equalização'!E:J,6,0)</f>
        <v>#N/A</v>
      </c>
    </row>
    <row r="1794" ht="15.75" customHeight="1">
      <c r="C1794" s="47">
        <v>225753.0</v>
      </c>
      <c r="D1794" s="47" t="str">
        <f>VLOOKUP(C1794,'Equalização'!E:J,6,0)</f>
        <v>#N/A</v>
      </c>
    </row>
    <row r="1795" ht="15.75" customHeight="1">
      <c r="C1795" s="47">
        <v>206390.0</v>
      </c>
      <c r="D1795" s="47" t="str">
        <f>VLOOKUP(C1795,'Equalização'!E:J,6,0)</f>
        <v>#N/A</v>
      </c>
    </row>
    <row r="1796" ht="15.75" customHeight="1">
      <c r="C1796" s="47">
        <v>238287.0</v>
      </c>
      <c r="D1796" s="47" t="str">
        <f>VLOOKUP(C1796,'Equalização'!E:J,6,0)</f>
        <v>#N/A</v>
      </c>
    </row>
    <row r="1797" ht="15.75" customHeight="1">
      <c r="C1797" s="47">
        <v>187078.0</v>
      </c>
      <c r="D1797" s="47" t="str">
        <f>VLOOKUP(C1797,'Equalização'!E:J,6,0)</f>
        <v>#N/A</v>
      </c>
    </row>
    <row r="1798" ht="15.75" customHeight="1">
      <c r="C1798" s="47">
        <v>168914.0</v>
      </c>
      <c r="D1798" s="47" t="str">
        <f>VLOOKUP(C1798,'Equalização'!E:J,6,0)</f>
        <v>#N/A</v>
      </c>
    </row>
    <row r="1799" ht="15.75" customHeight="1">
      <c r="C1799" s="47">
        <v>206476.0</v>
      </c>
      <c r="D1799" s="47" t="str">
        <f>VLOOKUP(C1799,'Equalização'!E:J,6,0)</f>
        <v>#N/A</v>
      </c>
    </row>
    <row r="1800" ht="15.75" customHeight="1">
      <c r="C1800" s="47">
        <v>170672.0</v>
      </c>
      <c r="D1800" s="47" t="str">
        <f>VLOOKUP(C1800,'Equalização'!E:J,6,0)</f>
        <v>#N/A</v>
      </c>
    </row>
    <row r="1801" ht="15.75" customHeight="1">
      <c r="C1801" s="47">
        <v>240445.0</v>
      </c>
      <c r="D1801" s="47" t="str">
        <f>VLOOKUP(C1801,'Equalização'!E:J,6,0)</f>
        <v>#N/A</v>
      </c>
    </row>
    <row r="1802" ht="15.75" customHeight="1">
      <c r="C1802" s="47">
        <v>213169.0</v>
      </c>
      <c r="D1802" s="47" t="str">
        <f>VLOOKUP(C1802,'Equalização'!E:J,6,0)</f>
        <v>#N/A</v>
      </c>
    </row>
    <row r="1803" ht="15.75" customHeight="1">
      <c r="C1803" s="47">
        <v>113409.0</v>
      </c>
      <c r="D1803" s="47" t="str">
        <f>VLOOKUP(C1803,'Equalização'!E:J,6,0)</f>
        <v>#N/A</v>
      </c>
    </row>
    <row r="1804" ht="15.75" customHeight="1">
      <c r="C1804" s="47">
        <v>225963.0</v>
      </c>
      <c r="D1804" s="47" t="str">
        <f>VLOOKUP(C1804,'Equalização'!E:J,6,0)</f>
        <v>#N/A</v>
      </c>
    </row>
    <row r="1805" ht="15.75" customHeight="1">
      <c r="C1805" s="47">
        <v>223368.0</v>
      </c>
      <c r="D1805" s="47" t="str">
        <f>VLOOKUP(C1805,'Equalização'!E:J,6,0)</f>
        <v>#N/A</v>
      </c>
    </row>
    <row r="1806" ht="15.75" customHeight="1">
      <c r="C1806" s="47">
        <v>204762.0</v>
      </c>
      <c r="D1806" s="47" t="str">
        <f>VLOOKUP(C1806,'Equalização'!E:J,6,0)</f>
        <v>#N/A</v>
      </c>
    </row>
    <row r="1807" ht="15.75" customHeight="1">
      <c r="C1807" s="47">
        <v>225754.0</v>
      </c>
      <c r="D1807" s="47" t="str">
        <f>VLOOKUP(C1807,'Equalização'!E:J,6,0)</f>
        <v>#N/A</v>
      </c>
    </row>
    <row r="1808" ht="15.75" customHeight="1">
      <c r="C1808" s="47">
        <v>225888.0</v>
      </c>
      <c r="D1808" s="47" t="str">
        <f>VLOOKUP(C1808,'Equalização'!E:J,6,0)</f>
        <v>#N/A</v>
      </c>
    </row>
    <row r="1809" ht="15.75" customHeight="1">
      <c r="C1809" s="47">
        <v>213252.0</v>
      </c>
      <c r="D1809" s="47" t="str">
        <f>VLOOKUP(C1809,'Equalização'!E:J,6,0)</f>
        <v>#N/A</v>
      </c>
    </row>
    <row r="1810" ht="15.75" customHeight="1">
      <c r="C1810" s="47">
        <v>240398.0</v>
      </c>
      <c r="D1810" s="47" t="str">
        <f>VLOOKUP(C1810,'Equalização'!E:J,6,0)</f>
        <v>#N/A</v>
      </c>
    </row>
    <row r="1811" ht="15.75" customHeight="1">
      <c r="C1811" s="47">
        <v>206047.0</v>
      </c>
      <c r="D1811" s="47" t="str">
        <f>VLOOKUP(C1811,'Equalização'!E:J,6,0)</f>
        <v>#N/A</v>
      </c>
    </row>
    <row r="1812" ht="15.75" customHeight="1">
      <c r="C1812" s="47">
        <v>240328.0</v>
      </c>
      <c r="D1812" s="47" t="str">
        <f>VLOOKUP(C1812,'Equalização'!E:J,6,0)</f>
        <v>#N/A</v>
      </c>
    </row>
    <row r="1813" ht="15.75" customHeight="1">
      <c r="C1813" s="47">
        <v>225670.0</v>
      </c>
      <c r="D1813" s="47" t="str">
        <f>VLOOKUP(C1813,'Equalização'!E:J,6,0)</f>
        <v>#N/A</v>
      </c>
    </row>
    <row r="1814" ht="15.75" customHeight="1">
      <c r="C1814" s="47">
        <v>226292.0</v>
      </c>
      <c r="D1814" s="47" t="str">
        <f>VLOOKUP(C1814,'Equalização'!E:J,6,0)</f>
        <v>#N/A</v>
      </c>
    </row>
    <row r="1815" ht="15.75" customHeight="1">
      <c r="C1815" s="47">
        <v>239037.0</v>
      </c>
      <c r="D1815" s="47" t="str">
        <f>VLOOKUP(C1815,'Equalização'!E:J,6,0)</f>
        <v>#N/A</v>
      </c>
    </row>
    <row r="1816" ht="15.75" customHeight="1">
      <c r="C1816" s="47">
        <v>206104.0</v>
      </c>
      <c r="D1816" s="47" t="str">
        <f>VLOOKUP(C1816,'Equalização'!E:J,6,0)</f>
        <v>#N/A</v>
      </c>
    </row>
    <row r="1817" ht="15.75" customHeight="1">
      <c r="C1817" s="47">
        <v>207185.0</v>
      </c>
      <c r="D1817" s="47" t="str">
        <f>VLOOKUP(C1817,'Equalização'!E:J,6,0)</f>
        <v>#N/A</v>
      </c>
    </row>
    <row r="1818" ht="15.75" customHeight="1">
      <c r="C1818" s="47">
        <v>131384.0</v>
      </c>
      <c r="D1818" s="47" t="str">
        <f>VLOOKUP(C1818,'Equalização'!E:J,6,0)</f>
        <v>#N/A</v>
      </c>
    </row>
    <row r="1819" ht="15.75" customHeight="1">
      <c r="C1819" s="47">
        <v>221268.0</v>
      </c>
      <c r="D1819" s="47" t="str">
        <f>VLOOKUP(C1819,'Equalização'!E:J,6,0)</f>
        <v>#N/A</v>
      </c>
    </row>
    <row r="1820" ht="15.75" customHeight="1">
      <c r="C1820" s="47">
        <v>221571.0</v>
      </c>
      <c r="D1820" s="47" t="str">
        <f>VLOOKUP(C1820,'Equalização'!E:J,6,0)</f>
        <v>#N/A</v>
      </c>
    </row>
    <row r="1821" ht="15.75" customHeight="1">
      <c r="C1821" s="47">
        <v>240416.0</v>
      </c>
      <c r="D1821" s="47" t="str">
        <f>VLOOKUP(C1821,'Equalização'!E:J,6,0)</f>
        <v>#N/A</v>
      </c>
    </row>
    <row r="1822" ht="15.75" customHeight="1">
      <c r="C1822" s="47">
        <v>240440.0</v>
      </c>
      <c r="D1822" s="47" t="str">
        <f>VLOOKUP(C1822,'Equalização'!E:J,6,0)</f>
        <v>#N/A</v>
      </c>
    </row>
    <row r="1823" ht="15.75" customHeight="1">
      <c r="C1823" s="47">
        <v>240374.0</v>
      </c>
      <c r="D1823" s="47" t="str">
        <f>VLOOKUP(C1823,'Equalização'!E:J,6,0)</f>
        <v>#N/A</v>
      </c>
    </row>
    <row r="1824" ht="15.75" customHeight="1">
      <c r="C1824" s="47">
        <v>240493.0</v>
      </c>
      <c r="D1824" s="47" t="str">
        <f>VLOOKUP(C1824,'Equalização'!E:J,6,0)</f>
        <v>#N/A</v>
      </c>
    </row>
    <row r="1825" ht="15.75" customHeight="1">
      <c r="C1825" s="47">
        <v>200051.0</v>
      </c>
      <c r="D1825" s="47" t="str">
        <f>VLOOKUP(C1825,'Equalização'!E:J,6,0)</f>
        <v>#N/A</v>
      </c>
    </row>
    <row r="1826" ht="15.75" customHeight="1">
      <c r="C1826" s="47">
        <v>119563.0</v>
      </c>
      <c r="D1826" s="47" t="str">
        <f>VLOOKUP(C1826,'Equalização'!E:J,6,0)</f>
        <v>#N/A</v>
      </c>
    </row>
    <row r="1827" ht="15.75" customHeight="1">
      <c r="C1827" s="47">
        <v>213075.0</v>
      </c>
      <c r="D1827" s="47" t="str">
        <f>VLOOKUP(C1827,'Equalização'!E:J,6,0)</f>
        <v>#N/A</v>
      </c>
    </row>
    <row r="1828" ht="15.75" customHeight="1">
      <c r="C1828" s="47">
        <v>121801.0</v>
      </c>
      <c r="D1828" s="47" t="str">
        <f>VLOOKUP(C1828,'Equalização'!E:J,6,0)</f>
        <v>#N/A</v>
      </c>
    </row>
    <row r="1829" ht="15.75" customHeight="1">
      <c r="C1829" s="47">
        <v>240381.0</v>
      </c>
      <c r="D1829" s="47" t="str">
        <f>VLOOKUP(C1829,'Equalização'!E:J,6,0)</f>
        <v>#N/A</v>
      </c>
    </row>
    <row r="1830" ht="15.75" customHeight="1">
      <c r="C1830" s="47">
        <v>225710.0</v>
      </c>
      <c r="D1830" s="47" t="str">
        <f>VLOOKUP(C1830,'Equalização'!E:J,6,0)</f>
        <v>#N/A</v>
      </c>
    </row>
    <row r="1831" ht="15.75" customHeight="1">
      <c r="C1831" s="47">
        <v>213129.0</v>
      </c>
      <c r="D1831" s="47" t="str">
        <f>VLOOKUP(C1831,'Equalização'!E:J,6,0)</f>
        <v>#N/A</v>
      </c>
    </row>
    <row r="1832" ht="15.75" customHeight="1">
      <c r="C1832" s="47">
        <v>214213.0</v>
      </c>
      <c r="D1832" s="47" t="str">
        <f>VLOOKUP(C1832,'Equalização'!E:J,6,0)</f>
        <v>#N/A</v>
      </c>
    </row>
    <row r="1833" ht="15.75" customHeight="1">
      <c r="C1833" s="47">
        <v>213071.0</v>
      </c>
      <c r="D1833" s="47" t="str">
        <f>VLOOKUP(C1833,'Equalização'!E:J,6,0)</f>
        <v>#N/A</v>
      </c>
    </row>
    <row r="1834" ht="15.75" customHeight="1">
      <c r="C1834" s="47">
        <v>187763.0</v>
      </c>
      <c r="D1834" s="47" t="str">
        <f>VLOOKUP(C1834,'Equalização'!E:J,6,0)</f>
        <v>#N/A</v>
      </c>
    </row>
    <row r="1835" ht="15.75" customHeight="1">
      <c r="C1835" s="47">
        <v>83984.0</v>
      </c>
      <c r="D1835" s="47" t="str">
        <f>VLOOKUP(C1835,'Equalização'!E:J,6,0)</f>
        <v>#N/A</v>
      </c>
    </row>
    <row r="1836" ht="15.75" customHeight="1">
      <c r="C1836" s="47">
        <v>124702.0</v>
      </c>
      <c r="D1836" s="47" t="str">
        <f>VLOOKUP(C1836,'Equalização'!E:J,6,0)</f>
        <v>#N/A</v>
      </c>
    </row>
    <row r="1837" ht="15.75" customHeight="1">
      <c r="C1837" s="47">
        <v>210469.0</v>
      </c>
      <c r="D1837" s="47" t="str">
        <f>VLOOKUP(C1837,'Equalização'!E:J,6,0)</f>
        <v>#N/A</v>
      </c>
    </row>
    <row r="1838" ht="15.75" customHeight="1">
      <c r="C1838" s="47">
        <v>213181.0</v>
      </c>
      <c r="D1838" s="47" t="str">
        <f>VLOOKUP(C1838,'Equalização'!E:J,6,0)</f>
        <v>#N/A</v>
      </c>
    </row>
    <row r="1839" ht="15.75" customHeight="1">
      <c r="C1839" s="47">
        <v>207751.0</v>
      </c>
      <c r="D1839" s="47" t="str">
        <f>VLOOKUP(C1839,'Equalização'!E:J,6,0)</f>
        <v>#N/A</v>
      </c>
    </row>
    <row r="1840" ht="15.75" customHeight="1">
      <c r="C1840" s="47">
        <v>213184.0</v>
      </c>
      <c r="D1840" s="47" t="str">
        <f>VLOOKUP(C1840,'Equalização'!E:J,6,0)</f>
        <v>#N/A</v>
      </c>
    </row>
    <row r="1841" ht="15.75" customHeight="1">
      <c r="C1841" s="47">
        <v>213188.0</v>
      </c>
      <c r="D1841" s="47" t="str">
        <f>VLOOKUP(C1841,'Equalização'!E:J,6,0)</f>
        <v>#N/A</v>
      </c>
    </row>
    <row r="1842" ht="15.75" customHeight="1">
      <c r="C1842" s="47">
        <v>225752.0</v>
      </c>
      <c r="D1842" s="47" t="str">
        <f>VLOOKUP(C1842,'Equalização'!E:J,6,0)</f>
        <v>#N/A</v>
      </c>
    </row>
    <row r="1843" ht="15.75" customHeight="1">
      <c r="C1843" s="47">
        <v>240450.0</v>
      </c>
      <c r="D1843" s="47" t="str">
        <f>VLOOKUP(C1843,'Equalização'!E:J,6,0)</f>
        <v>#N/A</v>
      </c>
    </row>
    <row r="1844" ht="15.75" customHeight="1">
      <c r="C1844" s="47">
        <v>239133.0</v>
      </c>
      <c r="D1844" s="47" t="str">
        <f>VLOOKUP(C1844,'Equalização'!E:J,6,0)</f>
        <v>#N/A</v>
      </c>
    </row>
    <row r="1845" ht="15.75" customHeight="1">
      <c r="C1845" s="47">
        <v>213045.0</v>
      </c>
      <c r="D1845" s="47" t="str">
        <f>VLOOKUP(C1845,'Equalização'!E:J,6,0)</f>
        <v>#N/A</v>
      </c>
    </row>
    <row r="1846" ht="15.75" customHeight="1">
      <c r="C1846" s="47">
        <v>240772.0</v>
      </c>
      <c r="D1846" s="47" t="str">
        <f>VLOOKUP(C1846,'Equalização'!E:J,6,0)</f>
        <v>#N/A</v>
      </c>
    </row>
    <row r="1847" ht="15.75" customHeight="1">
      <c r="C1847" s="47">
        <v>213063.0</v>
      </c>
      <c r="D1847" s="47" t="str">
        <f>VLOOKUP(C1847,'Equalização'!E:J,6,0)</f>
        <v>#N/A</v>
      </c>
    </row>
    <row r="1848" ht="15.75" customHeight="1">
      <c r="C1848" s="47">
        <v>227532.0</v>
      </c>
      <c r="D1848" s="47" t="str">
        <f>VLOOKUP(C1848,'Equalização'!E:J,6,0)</f>
        <v>#N/A</v>
      </c>
    </row>
    <row r="1849" ht="15.75" customHeight="1">
      <c r="C1849" s="47">
        <v>238602.0</v>
      </c>
      <c r="D1849" s="47" t="str">
        <f>VLOOKUP(C1849,'Equalização'!E:J,6,0)</f>
        <v>#N/A</v>
      </c>
    </row>
    <row r="1850" ht="15.75" customHeight="1">
      <c r="C1850" s="47">
        <v>225142.0</v>
      </c>
      <c r="D1850" s="47" t="str">
        <f>VLOOKUP(C1850,'Equalização'!E:J,6,0)</f>
        <v>#N/A</v>
      </c>
    </row>
    <row r="1851" ht="15.75" customHeight="1">
      <c r="C1851" s="47">
        <v>206021.0</v>
      </c>
      <c r="D1851" s="47" t="str">
        <f>VLOOKUP(C1851,'Equalização'!E:J,6,0)</f>
        <v>#N/A</v>
      </c>
    </row>
    <row r="1852" ht="15.75" customHeight="1">
      <c r="C1852" s="47">
        <v>226263.0</v>
      </c>
      <c r="D1852" s="47" t="str">
        <f>VLOOKUP(C1852,'Equalização'!E:J,6,0)</f>
        <v>#N/A</v>
      </c>
    </row>
    <row r="1853" ht="15.75" customHeight="1">
      <c r="C1853" s="47">
        <v>214954.0</v>
      </c>
      <c r="D1853" s="47" t="str">
        <f>VLOOKUP(C1853,'Equalização'!E:J,6,0)</f>
        <v>#N/A</v>
      </c>
    </row>
    <row r="1854" ht="15.75" customHeight="1">
      <c r="C1854" s="47">
        <v>240523.0</v>
      </c>
      <c r="D1854" s="47" t="str">
        <f>VLOOKUP(C1854,'Equalização'!E:J,6,0)</f>
        <v>#N/A</v>
      </c>
    </row>
    <row r="1855" ht="15.75" customHeight="1">
      <c r="C1855" s="47">
        <v>51373.0</v>
      </c>
      <c r="D1855" s="47" t="str">
        <f>VLOOKUP(C1855,'Equalização'!E:J,6,0)</f>
        <v>#N/A</v>
      </c>
    </row>
    <row r="1856" ht="15.75" customHeight="1">
      <c r="C1856" s="47">
        <v>240449.0</v>
      </c>
      <c r="D1856" s="47" t="str">
        <f>VLOOKUP(C1856,'Equalização'!E:J,6,0)</f>
        <v>#N/A</v>
      </c>
    </row>
    <row r="1857" ht="15.75" customHeight="1">
      <c r="C1857" s="47">
        <v>217617.0</v>
      </c>
      <c r="D1857" s="47" t="str">
        <f>VLOOKUP(C1857,'Equalização'!E:J,6,0)</f>
        <v>#N/A</v>
      </c>
    </row>
    <row r="1858" ht="15.75" customHeight="1">
      <c r="C1858" s="47">
        <v>204712.0</v>
      </c>
      <c r="D1858" s="47" t="str">
        <f>VLOOKUP(C1858,'Equalização'!E:J,6,0)</f>
        <v>#N/A</v>
      </c>
    </row>
    <row r="1859" ht="15.75" customHeight="1">
      <c r="C1859" s="47">
        <v>119907.0</v>
      </c>
      <c r="D1859" s="47" t="str">
        <f>VLOOKUP(C1859,'Equalização'!E:J,6,0)</f>
        <v>#N/A</v>
      </c>
    </row>
    <row r="1860" ht="15.75" customHeight="1">
      <c r="C1860" s="47">
        <v>187761.0</v>
      </c>
      <c r="D1860" s="47" t="str">
        <f>VLOOKUP(C1860,'Equalização'!E:J,6,0)</f>
        <v>#N/A</v>
      </c>
    </row>
    <row r="1861" ht="15.75" customHeight="1">
      <c r="C1861" s="47">
        <v>231062.0</v>
      </c>
      <c r="D1861" s="47" t="str">
        <f>VLOOKUP(C1861,'Equalização'!E:J,6,0)</f>
        <v>#N/A</v>
      </c>
    </row>
    <row r="1862" ht="15.75" customHeight="1">
      <c r="C1862" s="47">
        <v>231182.0</v>
      </c>
      <c r="D1862" s="47" t="str">
        <f>VLOOKUP(C1862,'Equalização'!E:J,6,0)</f>
        <v>#N/A</v>
      </c>
    </row>
    <row r="1863" ht="15.75" customHeight="1">
      <c r="C1863" s="47">
        <v>206085.0</v>
      </c>
      <c r="D1863" s="47" t="str">
        <f>VLOOKUP(C1863,'Equalização'!E:J,6,0)</f>
        <v>#N/A</v>
      </c>
    </row>
    <row r="1864" ht="15.75" customHeight="1">
      <c r="C1864" s="47">
        <v>240401.0</v>
      </c>
      <c r="D1864" s="47" t="str">
        <f>VLOOKUP(C1864,'Equalização'!E:J,6,0)</f>
        <v>#N/A</v>
      </c>
    </row>
    <row r="1865" ht="15.75" customHeight="1">
      <c r="C1865" s="47">
        <v>211625.0</v>
      </c>
      <c r="D1865" s="47" t="str">
        <f>VLOOKUP(C1865,'Equalização'!E:J,6,0)</f>
        <v>#N/A</v>
      </c>
    </row>
    <row r="1866" ht="15.75" customHeight="1">
      <c r="C1866" s="47">
        <v>240348.0</v>
      </c>
      <c r="D1866" s="47" t="str">
        <f>VLOOKUP(C1866,'Equalização'!E:J,6,0)</f>
        <v>#N/A</v>
      </c>
    </row>
    <row r="1867" ht="15.75" customHeight="1">
      <c r="C1867" s="47">
        <v>225675.0</v>
      </c>
      <c r="D1867" s="47" t="str">
        <f>VLOOKUP(C1867,'Equalização'!E:J,6,0)</f>
        <v>#N/A</v>
      </c>
    </row>
    <row r="1868" ht="15.75" customHeight="1">
      <c r="C1868" s="47">
        <v>207813.0</v>
      </c>
      <c r="D1868" s="47" t="str">
        <f>VLOOKUP(C1868,'Equalização'!E:J,6,0)</f>
        <v>#N/A</v>
      </c>
    </row>
    <row r="1869" ht="15.75" customHeight="1">
      <c r="C1869" s="47">
        <v>207210.0</v>
      </c>
      <c r="D1869" s="47" t="str">
        <f>VLOOKUP(C1869,'Equalização'!E:J,6,0)</f>
        <v>#N/A</v>
      </c>
    </row>
    <row r="1870" ht="15.75" customHeight="1">
      <c r="C1870" s="47">
        <v>240438.0</v>
      </c>
      <c r="D1870" s="47" t="str">
        <f>VLOOKUP(C1870,'Equalização'!E:J,6,0)</f>
        <v>#N/A</v>
      </c>
    </row>
    <row r="1871" ht="15.75" customHeight="1">
      <c r="C1871" s="47">
        <v>169209.0</v>
      </c>
      <c r="D1871" s="47" t="str">
        <f>VLOOKUP(C1871,'Equalização'!E:J,6,0)</f>
        <v>#N/A</v>
      </c>
    </row>
    <row r="1872" ht="15.75" customHeight="1">
      <c r="C1872" s="47">
        <v>226297.0</v>
      </c>
      <c r="D1872" s="47" t="str">
        <f>VLOOKUP(C1872,'Equalização'!E:J,6,0)</f>
        <v>#N/A</v>
      </c>
    </row>
    <row r="1873" ht="15.75" customHeight="1">
      <c r="C1873" s="47">
        <v>230797.0</v>
      </c>
      <c r="D1873" s="47" t="str">
        <f>VLOOKUP(C1873,'Equalização'!E:J,6,0)</f>
        <v>#N/A</v>
      </c>
    </row>
    <row r="1874" ht="15.75" customHeight="1">
      <c r="C1874" s="47">
        <v>237764.0</v>
      </c>
      <c r="D1874" s="47" t="str">
        <f>VLOOKUP(C1874,'Equalização'!E:J,6,0)</f>
        <v>#N/A</v>
      </c>
    </row>
    <row r="1875" ht="15.75" customHeight="1">
      <c r="C1875" s="47">
        <v>205929.0</v>
      </c>
      <c r="D1875" s="47" t="str">
        <f>VLOOKUP(C1875,'Equalização'!E:J,6,0)</f>
        <v>#N/A</v>
      </c>
    </row>
    <row r="1876" ht="15.75" customHeight="1">
      <c r="C1876" s="47">
        <v>240486.0</v>
      </c>
      <c r="D1876" s="47" t="str">
        <f>VLOOKUP(C1876,'Equalização'!E:J,6,0)</f>
        <v>#N/A</v>
      </c>
    </row>
    <row r="1877" ht="15.75" customHeight="1">
      <c r="C1877" s="47">
        <v>225786.0</v>
      </c>
      <c r="D1877" s="47" t="str">
        <f>VLOOKUP(C1877,'Equalização'!E:J,6,0)</f>
        <v>#N/A</v>
      </c>
    </row>
    <row r="1878" ht="15.75" customHeight="1">
      <c r="C1878" s="47">
        <v>225742.0</v>
      </c>
      <c r="D1878" s="47" t="str">
        <f>VLOOKUP(C1878,'Equalização'!E:J,6,0)</f>
        <v>#N/A</v>
      </c>
    </row>
    <row r="1879" ht="15.75" customHeight="1">
      <c r="C1879" s="47">
        <v>207746.0</v>
      </c>
      <c r="D1879" s="47" t="str">
        <f>VLOOKUP(C1879,'Equalização'!E:J,6,0)</f>
        <v>#N/A</v>
      </c>
    </row>
    <row r="1880" ht="15.75" customHeight="1">
      <c r="C1880" s="47">
        <v>54984.0</v>
      </c>
      <c r="D1880" s="47" t="str">
        <f>VLOOKUP(C1880,'Equalização'!E:J,6,0)</f>
        <v>#N/A</v>
      </c>
    </row>
    <row r="1881" ht="15.75" customHeight="1">
      <c r="C1881" s="47">
        <v>213235.0</v>
      </c>
      <c r="D1881" s="47" t="str">
        <f>VLOOKUP(C1881,'Equalização'!E:J,6,0)</f>
        <v>#N/A</v>
      </c>
    </row>
    <row r="1882" ht="15.75" customHeight="1">
      <c r="C1882" s="47">
        <v>240391.0</v>
      </c>
      <c r="D1882" s="47" t="str">
        <f>VLOOKUP(C1882,'Equalização'!E:J,6,0)</f>
        <v>#N/A</v>
      </c>
    </row>
    <row r="1883" ht="15.75" customHeight="1">
      <c r="C1883" s="47">
        <v>240680.0</v>
      </c>
      <c r="D1883" s="47" t="str">
        <f>VLOOKUP(C1883,'Equalização'!E:J,6,0)</f>
        <v>#N/A</v>
      </c>
    </row>
    <row r="1884" ht="15.75" customHeight="1">
      <c r="C1884" s="47">
        <v>169159.0</v>
      </c>
      <c r="D1884" s="47" t="str">
        <f>VLOOKUP(C1884,'Equalização'!E:J,6,0)</f>
        <v>#N/A</v>
      </c>
    </row>
    <row r="1885" ht="15.75" customHeight="1">
      <c r="C1885" s="47">
        <v>150874.0</v>
      </c>
      <c r="D1885" s="47" t="str">
        <f>VLOOKUP(C1885,'Equalização'!E:J,6,0)</f>
        <v>#N/A</v>
      </c>
    </row>
    <row r="1886" ht="15.75" customHeight="1">
      <c r="C1886" s="47">
        <v>205917.0</v>
      </c>
      <c r="D1886" s="47" t="str">
        <f>VLOOKUP(C1886,'Equalização'!E:J,6,0)</f>
        <v>#N/A</v>
      </c>
    </row>
    <row r="1887" ht="15.75" customHeight="1">
      <c r="C1887" s="47">
        <v>236217.0</v>
      </c>
      <c r="D1887" s="47" t="str">
        <f>VLOOKUP(C1887,'Equalização'!E:J,6,0)</f>
        <v>#N/A</v>
      </c>
    </row>
    <row r="1888" ht="15.75" customHeight="1">
      <c r="C1888" s="47">
        <v>240412.0</v>
      </c>
      <c r="D1888" s="47" t="str">
        <f>VLOOKUP(C1888,'Equalização'!E:J,6,0)</f>
        <v>#N/A</v>
      </c>
    </row>
    <row r="1889" ht="15.75" customHeight="1">
      <c r="C1889" s="47">
        <v>57860.0</v>
      </c>
      <c r="D1889" s="47" t="str">
        <f>VLOOKUP(C1889,'Equalização'!E:J,6,0)</f>
        <v>#N/A</v>
      </c>
    </row>
    <row r="1890" ht="15.75" customHeight="1">
      <c r="C1890" s="47">
        <v>200962.0</v>
      </c>
      <c r="D1890" s="47" t="str">
        <f>VLOOKUP(C1890,'Equalização'!E:J,6,0)</f>
        <v>#N/A</v>
      </c>
    </row>
    <row r="1891" ht="15.75" customHeight="1">
      <c r="C1891" s="47">
        <v>222470.0</v>
      </c>
      <c r="D1891" s="47" t="str">
        <f>VLOOKUP(C1891,'Equalização'!E:J,6,0)</f>
        <v>#N/A</v>
      </c>
    </row>
    <row r="1892" ht="15.75" customHeight="1">
      <c r="C1892" s="47">
        <v>227537.0</v>
      </c>
      <c r="D1892" s="47" t="str">
        <f>VLOOKUP(C1892,'Equalização'!E:J,6,0)</f>
        <v>#N/A</v>
      </c>
    </row>
    <row r="1893" ht="15.75" customHeight="1">
      <c r="C1893" s="47">
        <v>237288.0</v>
      </c>
      <c r="D1893" s="47" t="str">
        <f>VLOOKUP(C1893,'Equalização'!E:J,6,0)</f>
        <v>#N/A</v>
      </c>
    </row>
    <row r="1894" ht="15.75" customHeight="1">
      <c r="C1894" s="47">
        <v>239874.0</v>
      </c>
      <c r="D1894" s="47" t="str">
        <f>VLOOKUP(C1894,'Equalização'!E:J,6,0)</f>
        <v>#N/A</v>
      </c>
    </row>
    <row r="1895" ht="15.75" customHeight="1">
      <c r="C1895" s="47">
        <v>223927.0</v>
      </c>
      <c r="D1895" s="47" t="str">
        <f>VLOOKUP(C1895,'Equalização'!E:J,6,0)</f>
        <v>#N/A</v>
      </c>
    </row>
    <row r="1896" ht="15.75" customHeight="1">
      <c r="C1896" s="47">
        <v>223928.0</v>
      </c>
      <c r="D1896" s="47" t="str">
        <f>VLOOKUP(C1896,'Equalização'!E:J,6,0)</f>
        <v>#N/A</v>
      </c>
    </row>
    <row r="1897" ht="15.75" customHeight="1">
      <c r="C1897" s="47">
        <v>206479.0</v>
      </c>
      <c r="D1897" s="47" t="str">
        <f>VLOOKUP(C1897,'Equalização'!E:J,6,0)</f>
        <v>#N/A</v>
      </c>
    </row>
    <row r="1898" ht="15.75" customHeight="1">
      <c r="C1898" s="47">
        <v>225679.0</v>
      </c>
      <c r="D1898" s="47" t="str">
        <f>VLOOKUP(C1898,'Equalização'!E:J,6,0)</f>
        <v>#N/A</v>
      </c>
    </row>
    <row r="1899" ht="15.75" customHeight="1">
      <c r="C1899" s="47">
        <v>122787.0</v>
      </c>
      <c r="D1899" s="47" t="str">
        <f>VLOOKUP(C1899,'Equalização'!E:J,6,0)</f>
        <v>#N/A</v>
      </c>
    </row>
    <row r="1900" ht="15.75" customHeight="1">
      <c r="C1900" s="47">
        <v>240518.0</v>
      </c>
      <c r="D1900" s="47" t="str">
        <f>VLOOKUP(C1900,'Equalização'!E:J,6,0)</f>
        <v>#N/A</v>
      </c>
    </row>
    <row r="1901" ht="15.75" customHeight="1">
      <c r="C1901" s="47">
        <v>220191.0</v>
      </c>
      <c r="D1901" s="47" t="str">
        <f>VLOOKUP(C1901,'Equalização'!E:J,6,0)</f>
        <v>#N/A</v>
      </c>
    </row>
    <row r="1902" ht="15.75" customHeight="1">
      <c r="C1902" s="47">
        <v>237759.0</v>
      </c>
      <c r="D1902" s="47" t="str">
        <f>VLOOKUP(C1902,'Equalização'!E:J,6,0)</f>
        <v>#N/A</v>
      </c>
    </row>
    <row r="1903" ht="15.75" customHeight="1">
      <c r="C1903" s="47">
        <v>240399.0</v>
      </c>
      <c r="D1903" s="47" t="str">
        <f>VLOOKUP(C1903,'Equalização'!E:J,6,0)</f>
        <v>#N/A</v>
      </c>
    </row>
    <row r="1904" ht="15.75" customHeight="1">
      <c r="C1904" s="47">
        <v>225842.0</v>
      </c>
      <c r="D1904" s="47" t="str">
        <f>VLOOKUP(C1904,'Equalização'!E:J,6,0)</f>
        <v>#N/A</v>
      </c>
    </row>
    <row r="1905" ht="15.75" customHeight="1">
      <c r="C1905" s="47">
        <v>206020.0</v>
      </c>
      <c r="D1905" s="47" t="str">
        <f>VLOOKUP(C1905,'Equalização'!E:J,6,0)</f>
        <v>#N/A</v>
      </c>
    </row>
    <row r="1906" ht="15.75" customHeight="1">
      <c r="C1906" s="47">
        <v>221020.0</v>
      </c>
      <c r="D1906" s="47" t="str">
        <f>VLOOKUP(C1906,'Equalização'!E:J,6,0)</f>
        <v>#N/A</v>
      </c>
    </row>
    <row r="1907" ht="15.75" customHeight="1">
      <c r="C1907" s="47">
        <v>150856.0</v>
      </c>
      <c r="D1907" s="47" t="str">
        <f>VLOOKUP(C1907,'Equalização'!E:J,6,0)</f>
        <v>#N/A</v>
      </c>
    </row>
    <row r="1908" ht="15.75" customHeight="1">
      <c r="C1908" s="47">
        <v>237772.0</v>
      </c>
      <c r="D1908" s="47" t="str">
        <f>VLOOKUP(C1908,'Equalização'!E:J,6,0)</f>
        <v>#N/A</v>
      </c>
    </row>
    <row r="1909" ht="15.75" customHeight="1">
      <c r="C1909" s="47">
        <v>225758.0</v>
      </c>
      <c r="D1909" s="47" t="str">
        <f>VLOOKUP(C1909,'Equalização'!E:J,6,0)</f>
        <v>#N/A</v>
      </c>
    </row>
    <row r="1910" ht="15.75" customHeight="1">
      <c r="C1910" s="47">
        <v>226262.0</v>
      </c>
      <c r="D1910" s="47" t="str">
        <f>VLOOKUP(C1910,'Equalização'!E:J,6,0)</f>
        <v>#N/A</v>
      </c>
    </row>
    <row r="1911" ht="15.75" customHeight="1">
      <c r="C1911" s="47">
        <v>214120.0</v>
      </c>
      <c r="D1911" s="47" t="str">
        <f>VLOOKUP(C1911,'Equalização'!E:J,6,0)</f>
        <v>#N/A</v>
      </c>
    </row>
    <row r="1912" ht="15.75" customHeight="1">
      <c r="C1912" s="47">
        <v>191205.0</v>
      </c>
      <c r="D1912" s="47" t="str">
        <f>VLOOKUP(C1912,'Equalização'!E:J,6,0)</f>
        <v>#N/A</v>
      </c>
    </row>
    <row r="1913" ht="15.75" customHeight="1">
      <c r="C1913" s="47">
        <v>211588.0</v>
      </c>
      <c r="D1913" s="47" t="str">
        <f>VLOOKUP(C1913,'Equalização'!E:J,6,0)</f>
        <v>#N/A</v>
      </c>
    </row>
    <row r="1914" ht="15.75" customHeight="1">
      <c r="C1914" s="47">
        <v>212029.0</v>
      </c>
      <c r="D1914" s="47" t="str">
        <f>VLOOKUP(C1914,'Equalização'!E:J,6,0)</f>
        <v>#N/A</v>
      </c>
    </row>
    <row r="1915" ht="15.75" customHeight="1">
      <c r="C1915" s="47">
        <v>223931.0</v>
      </c>
      <c r="D1915" s="47" t="str">
        <f>VLOOKUP(C1915,'Equalização'!E:J,6,0)</f>
        <v>#N/A</v>
      </c>
    </row>
    <row r="1916" ht="15.75" customHeight="1">
      <c r="C1916" s="47">
        <v>211129.0</v>
      </c>
      <c r="D1916" s="47" t="str">
        <f>VLOOKUP(C1916,'Equalização'!E:J,6,0)</f>
        <v>#N/A</v>
      </c>
    </row>
    <row r="1917" ht="15.75" customHeight="1">
      <c r="C1917" s="47">
        <v>154921.0</v>
      </c>
      <c r="D1917" s="47" t="str">
        <f>VLOOKUP(C1917,'Equalização'!E:J,6,0)</f>
        <v>#N/A</v>
      </c>
    </row>
    <row r="1918" ht="15.75" customHeight="1">
      <c r="C1918" s="47">
        <v>223121.0</v>
      </c>
      <c r="D1918" s="47" t="str">
        <f>VLOOKUP(C1918,'Equalização'!E:J,6,0)</f>
        <v>#N/A</v>
      </c>
    </row>
    <row r="1919" ht="15.75" customHeight="1">
      <c r="C1919" s="47">
        <v>211597.0</v>
      </c>
      <c r="D1919" s="47" t="str">
        <f>VLOOKUP(C1919,'Equalização'!E:J,6,0)</f>
        <v>#N/A</v>
      </c>
    </row>
    <row r="1920" ht="15.75" customHeight="1">
      <c r="C1920" s="47">
        <v>224014.0</v>
      </c>
      <c r="D1920" s="47" t="str">
        <f>VLOOKUP(C1920,'Equalização'!E:J,6,0)</f>
        <v>#N/A</v>
      </c>
    </row>
    <row r="1921" ht="15.75" customHeight="1">
      <c r="C1921" s="47">
        <v>207355.0</v>
      </c>
      <c r="D1921" s="47" t="str">
        <f>VLOOKUP(C1921,'Equalização'!E:J,6,0)</f>
        <v>#N/A</v>
      </c>
    </row>
    <row r="1922" ht="15.75" customHeight="1">
      <c r="C1922" s="47">
        <v>205908.0</v>
      </c>
      <c r="D1922" s="47" t="str">
        <f>VLOOKUP(C1922,'Equalização'!E:J,6,0)</f>
        <v>#N/A</v>
      </c>
    </row>
    <row r="1923" ht="15.75" customHeight="1">
      <c r="C1923" s="47">
        <v>214553.0</v>
      </c>
      <c r="D1923" s="47" t="str">
        <f>VLOOKUP(C1923,'Equalização'!E:J,6,0)</f>
        <v>#N/A</v>
      </c>
    </row>
    <row r="1924" ht="15.75" customHeight="1">
      <c r="C1924" s="47">
        <v>222376.0</v>
      </c>
      <c r="D1924" s="47" t="str">
        <f>VLOOKUP(C1924,'Equalização'!E:J,6,0)</f>
        <v>#N/A</v>
      </c>
    </row>
    <row r="1925" ht="15.75" customHeight="1">
      <c r="C1925" s="47">
        <v>153017.0</v>
      </c>
      <c r="D1925" s="47" t="str">
        <f>VLOOKUP(C1925,'Equalização'!E:J,6,0)</f>
        <v>#N/A</v>
      </c>
    </row>
    <row r="1926" ht="15.75" customHeight="1">
      <c r="C1926" s="47">
        <v>82996.0</v>
      </c>
      <c r="D1926" s="47" t="str">
        <f>VLOOKUP(C1926,'Equalização'!E:J,6,0)</f>
        <v>#N/A</v>
      </c>
    </row>
    <row r="1927" ht="15.75" customHeight="1">
      <c r="C1927" s="47">
        <v>205928.0</v>
      </c>
      <c r="D1927" s="47" t="str">
        <f>VLOOKUP(C1927,'Equalização'!E:J,6,0)</f>
        <v>#N/A</v>
      </c>
    </row>
    <row r="1928" ht="15.75" customHeight="1">
      <c r="C1928" s="47">
        <v>213086.0</v>
      </c>
      <c r="D1928" s="47" t="str">
        <f>VLOOKUP(C1928,'Equalização'!E:J,6,0)</f>
        <v>#N/A</v>
      </c>
    </row>
    <row r="1929" ht="15.75" customHeight="1">
      <c r="C1929" s="47">
        <v>229546.0</v>
      </c>
      <c r="D1929" s="47" t="str">
        <f>VLOOKUP(C1929,'Equalização'!E:J,6,0)</f>
        <v>#N/A</v>
      </c>
    </row>
    <row r="1930" ht="15.75" customHeight="1">
      <c r="C1930" s="47">
        <v>229549.0</v>
      </c>
      <c r="D1930" s="47" t="str">
        <f>VLOOKUP(C1930,'Equalização'!E:J,6,0)</f>
        <v>#N/A</v>
      </c>
    </row>
    <row r="1931" ht="15.75" customHeight="1">
      <c r="C1931" s="47">
        <v>214215.0</v>
      </c>
      <c r="D1931" s="47" t="str">
        <f>VLOOKUP(C1931,'Equalização'!E:J,6,0)</f>
        <v>#N/A</v>
      </c>
    </row>
    <row r="1932" ht="15.75" customHeight="1">
      <c r="C1932" s="47">
        <v>213365.0</v>
      </c>
      <c r="D1932" s="47" t="str">
        <f>VLOOKUP(C1932,'Equalização'!E:J,6,0)</f>
        <v>#N/A</v>
      </c>
    </row>
    <row r="1933" ht="15.75" customHeight="1">
      <c r="C1933" s="47">
        <v>149127.0</v>
      </c>
      <c r="D1933" s="47" t="str">
        <f>VLOOKUP(C1933,'Equalização'!E:J,6,0)</f>
        <v>#N/A</v>
      </c>
    </row>
    <row r="1934" ht="15.75" customHeight="1">
      <c r="C1934" s="47">
        <v>207818.0</v>
      </c>
      <c r="D1934" s="47" t="str">
        <f>VLOOKUP(C1934,'Equalização'!E:J,6,0)</f>
        <v>#N/A</v>
      </c>
    </row>
    <row r="1935" ht="15.75" customHeight="1">
      <c r="C1935" s="47">
        <v>206060.0</v>
      </c>
      <c r="D1935" s="47" t="str">
        <f>VLOOKUP(C1935,'Equalização'!E:J,6,0)</f>
        <v>#N/A</v>
      </c>
    </row>
    <row r="1936" ht="15.75" customHeight="1">
      <c r="C1936" s="47">
        <v>225700.0</v>
      </c>
      <c r="D1936" s="47" t="str">
        <f>VLOOKUP(C1936,'Equalização'!E:J,6,0)</f>
        <v>#N/A</v>
      </c>
    </row>
    <row r="1937" ht="15.75" customHeight="1">
      <c r="C1937" s="47">
        <v>210785.0</v>
      </c>
      <c r="D1937" s="47" t="str">
        <f>VLOOKUP(C1937,'Equalização'!E:J,6,0)</f>
        <v>#N/A</v>
      </c>
    </row>
    <row r="1938" ht="15.75" customHeight="1">
      <c r="C1938" s="47">
        <v>149940.0</v>
      </c>
      <c r="D1938" s="47" t="str">
        <f>VLOOKUP(C1938,'Equalização'!E:J,6,0)</f>
        <v>#N/A</v>
      </c>
    </row>
    <row r="1939" ht="15.75" customHeight="1">
      <c r="C1939" s="47">
        <v>225720.0</v>
      </c>
      <c r="D1939" s="47" t="str">
        <f>VLOOKUP(C1939,'Equalização'!E:J,6,0)</f>
        <v>#N/A</v>
      </c>
    </row>
    <row r="1940" ht="15.75" customHeight="1">
      <c r="C1940" s="47">
        <v>214223.0</v>
      </c>
      <c r="D1940" s="47" t="str">
        <f>VLOOKUP(C1940,'Equalização'!E:J,6,0)</f>
        <v>#N/A</v>
      </c>
    </row>
    <row r="1941" ht="15.75" customHeight="1">
      <c r="C1941" s="47">
        <v>207141.0</v>
      </c>
      <c r="D1941" s="47" t="str">
        <f>VLOOKUP(C1941,'Equalização'!E:J,6,0)</f>
        <v>#N/A</v>
      </c>
    </row>
    <row r="1942" ht="15.75" customHeight="1">
      <c r="C1942" s="47">
        <v>46191.0</v>
      </c>
      <c r="D1942" s="47" t="str">
        <f>VLOOKUP(C1942,'Equalização'!E:J,6,0)</f>
        <v>#N/A</v>
      </c>
    </row>
    <row r="1943" ht="15.75" customHeight="1">
      <c r="C1943" s="47">
        <v>220171.0</v>
      </c>
      <c r="D1943" s="47" t="str">
        <f>VLOOKUP(C1943,'Equalização'!E:J,6,0)</f>
        <v>#N/A</v>
      </c>
    </row>
    <row r="1944" ht="15.75" customHeight="1">
      <c r="C1944" s="47">
        <v>226312.0</v>
      </c>
      <c r="D1944" s="47" t="str">
        <f>VLOOKUP(C1944,'Equalização'!E:J,6,0)</f>
        <v>#N/A</v>
      </c>
    </row>
    <row r="1945" ht="15.75" customHeight="1">
      <c r="C1945" s="47">
        <v>226938.0</v>
      </c>
      <c r="D1945" s="47" t="str">
        <f>VLOOKUP(C1945,'Equalização'!E:J,6,0)</f>
        <v>#N/A</v>
      </c>
    </row>
    <row r="1946" ht="15.75" customHeight="1">
      <c r="C1946" s="47">
        <v>206007.0</v>
      </c>
      <c r="D1946" s="47" t="str">
        <f>VLOOKUP(C1946,'Equalização'!E:J,6,0)</f>
        <v>#N/A</v>
      </c>
    </row>
    <row r="1947" ht="15.75" customHeight="1">
      <c r="C1947" s="47">
        <v>240198.0</v>
      </c>
      <c r="D1947" s="47" t="str">
        <f>VLOOKUP(C1947,'Equalização'!E:J,6,0)</f>
        <v>#N/A</v>
      </c>
    </row>
    <row r="1948" ht="15.75" customHeight="1">
      <c r="C1948" s="47">
        <v>205894.0</v>
      </c>
      <c r="D1948" s="47" t="str">
        <f>VLOOKUP(C1948,'Equalização'!E:J,6,0)</f>
        <v>#N/A</v>
      </c>
    </row>
    <row r="1949" ht="15.75" customHeight="1">
      <c r="C1949" s="47">
        <v>213008.0</v>
      </c>
      <c r="D1949" s="47" t="str">
        <f>VLOOKUP(C1949,'Equalização'!E:J,6,0)</f>
        <v>#N/A</v>
      </c>
    </row>
    <row r="1950" ht="15.75" customHeight="1">
      <c r="C1950" s="47">
        <v>224802.0</v>
      </c>
      <c r="D1950" s="47" t="str">
        <f>VLOOKUP(C1950,'Equalização'!E:J,6,0)</f>
        <v>#N/A</v>
      </c>
    </row>
    <row r="1951" ht="15.75" customHeight="1">
      <c r="C1951" s="47">
        <v>213030.0</v>
      </c>
      <c r="D1951" s="47" t="str">
        <f>VLOOKUP(C1951,'Equalização'!E:J,6,0)</f>
        <v>#N/A</v>
      </c>
    </row>
    <row r="1952" ht="15.75" customHeight="1">
      <c r="C1952" s="47">
        <v>240377.0</v>
      </c>
      <c r="D1952" s="47" t="str">
        <f>VLOOKUP(C1952,'Equalização'!E:J,6,0)</f>
        <v>#N/A</v>
      </c>
    </row>
    <row r="1953" ht="15.75" customHeight="1">
      <c r="C1953" s="47">
        <v>240354.0</v>
      </c>
      <c r="D1953" s="47" t="str">
        <f>VLOOKUP(C1953,'Equalização'!E:J,6,0)</f>
        <v>#N/A</v>
      </c>
    </row>
    <row r="1954" ht="15.75" customHeight="1">
      <c r="C1954" s="47">
        <v>240497.0</v>
      </c>
      <c r="D1954" s="47" t="str">
        <f>VLOOKUP(C1954,'Equalização'!E:J,6,0)</f>
        <v>#N/A</v>
      </c>
    </row>
    <row r="1955" ht="15.75" customHeight="1">
      <c r="C1955" s="47">
        <v>240464.0</v>
      </c>
      <c r="D1955" s="47" t="str">
        <f>VLOOKUP(C1955,'Equalização'!E:J,6,0)</f>
        <v>#N/A</v>
      </c>
    </row>
    <row r="1956" ht="15.75" customHeight="1">
      <c r="C1956" s="47">
        <v>205893.0</v>
      </c>
      <c r="D1956" s="47" t="str">
        <f>VLOOKUP(C1956,'Equalização'!E:J,6,0)</f>
        <v>#N/A</v>
      </c>
    </row>
    <row r="1957" ht="15.75" customHeight="1">
      <c r="C1957" s="47">
        <v>240378.0</v>
      </c>
      <c r="D1957" s="47" t="str">
        <f>VLOOKUP(C1957,'Equalização'!E:J,6,0)</f>
        <v>#N/A</v>
      </c>
    </row>
    <row r="1958" ht="15.75" customHeight="1">
      <c r="C1958" s="47">
        <v>53759.0</v>
      </c>
      <c r="D1958" s="47" t="str">
        <f>VLOOKUP(C1958,'Equalização'!E:J,6,0)</f>
        <v>#N/A</v>
      </c>
    </row>
    <row r="1959" ht="15.75" customHeight="1">
      <c r="C1959" s="47">
        <v>236961.0</v>
      </c>
      <c r="D1959" s="47" t="str">
        <f>VLOOKUP(C1959,'Equalização'!E:J,6,0)</f>
        <v>#N/A</v>
      </c>
    </row>
    <row r="1960" ht="15.75" customHeight="1">
      <c r="C1960" s="47">
        <v>211623.0</v>
      </c>
      <c r="D1960" s="47" t="str">
        <f>VLOOKUP(C1960,'Equalização'!E:J,6,0)</f>
        <v>#N/A</v>
      </c>
    </row>
    <row r="1961" ht="15.75" customHeight="1">
      <c r="C1961" s="47">
        <v>220442.0</v>
      </c>
      <c r="D1961" s="47" t="str">
        <f>VLOOKUP(C1961,'Equalização'!E:J,6,0)</f>
        <v>#N/A</v>
      </c>
    </row>
    <row r="1962" ht="15.75" customHeight="1">
      <c r="C1962" s="47">
        <v>240393.0</v>
      </c>
      <c r="D1962" s="47" t="str">
        <f>VLOOKUP(C1962,'Equalização'!E:J,6,0)</f>
        <v>#N/A</v>
      </c>
    </row>
    <row r="1963" ht="15.75" customHeight="1">
      <c r="C1963" s="47">
        <v>240343.0</v>
      </c>
      <c r="D1963" s="47" t="str">
        <f>VLOOKUP(C1963,'Equalização'!E:J,6,0)</f>
        <v>#N/A</v>
      </c>
    </row>
    <row r="1964" ht="15.75" customHeight="1">
      <c r="C1964" s="47">
        <v>225808.0</v>
      </c>
      <c r="D1964" s="47" t="str">
        <f>VLOOKUP(C1964,'Equalização'!E:J,6,0)</f>
        <v>#N/A</v>
      </c>
    </row>
    <row r="1965" ht="15.75" customHeight="1">
      <c r="C1965" s="47">
        <v>238610.0</v>
      </c>
      <c r="D1965" s="47" t="str">
        <f>VLOOKUP(C1965,'Equalização'!E:J,6,0)</f>
        <v>#N/A</v>
      </c>
    </row>
    <row r="1966" ht="15.75" customHeight="1">
      <c r="C1966" s="47">
        <v>205895.0</v>
      </c>
      <c r="D1966" s="47" t="str">
        <f>VLOOKUP(C1966,'Equalização'!E:J,6,0)</f>
        <v>#N/A</v>
      </c>
    </row>
    <row r="1967" ht="15.75" customHeight="1">
      <c r="C1967" s="47">
        <v>165308.0</v>
      </c>
      <c r="D1967" s="47" t="str">
        <f>VLOOKUP(C1967,'Equalização'!E:J,6,0)</f>
        <v>#N/A</v>
      </c>
    </row>
    <row r="1968" ht="15.75" customHeight="1">
      <c r="C1968" s="47">
        <v>171934.0</v>
      </c>
      <c r="D1968" s="47" t="str">
        <f>VLOOKUP(C1968,'Equalização'!E:J,6,0)</f>
        <v>#N/A</v>
      </c>
    </row>
    <row r="1969" ht="15.75" customHeight="1">
      <c r="C1969" s="47">
        <v>236223.0</v>
      </c>
      <c r="D1969" s="47" t="str">
        <f>VLOOKUP(C1969,'Equalização'!E:J,6,0)</f>
        <v>#N/A</v>
      </c>
    </row>
    <row r="1970" ht="15.75" customHeight="1">
      <c r="C1970" s="47">
        <v>207750.0</v>
      </c>
      <c r="D1970" s="47" t="str">
        <f>VLOOKUP(C1970,'Equalização'!E:J,6,0)</f>
        <v>#N/A</v>
      </c>
    </row>
    <row r="1971" ht="15.75" customHeight="1">
      <c r="C1971" s="47">
        <v>240478.0</v>
      </c>
      <c r="D1971" s="47" t="str">
        <f>VLOOKUP(C1971,'Equalização'!E:J,6,0)</f>
        <v>#N/A</v>
      </c>
    </row>
    <row r="1972" ht="15.75" customHeight="1">
      <c r="C1972" s="47">
        <v>225872.0</v>
      </c>
      <c r="D1972" s="47" t="str">
        <f>VLOOKUP(C1972,'Equalização'!E:J,6,0)</f>
        <v>#N/A</v>
      </c>
    </row>
    <row r="1973" ht="15.75" customHeight="1">
      <c r="C1973" s="47">
        <v>240366.0</v>
      </c>
      <c r="D1973" s="47" t="str">
        <f>VLOOKUP(C1973,'Equalização'!E:J,6,0)</f>
        <v>#N/A</v>
      </c>
    </row>
    <row r="1974" ht="15.75" customHeight="1">
      <c r="C1974" s="47">
        <v>207135.0</v>
      </c>
      <c r="D1974" s="47" t="str">
        <f>VLOOKUP(C1974,'Equalização'!E:J,6,0)</f>
        <v>#N/A</v>
      </c>
    </row>
    <row r="1975" ht="15.75" customHeight="1">
      <c r="C1975" s="47">
        <v>57797.0</v>
      </c>
      <c r="D1975" s="47" t="str">
        <f>VLOOKUP(C1975,'Equalização'!E:J,6,0)</f>
        <v>#N/A</v>
      </c>
    </row>
    <row r="1976" ht="15.75" customHeight="1">
      <c r="C1976" s="47">
        <v>225867.0</v>
      </c>
      <c r="D1976" s="47" t="str">
        <f>VLOOKUP(C1976,'Equalização'!E:J,6,0)</f>
        <v>#N/A</v>
      </c>
    </row>
    <row r="1977" ht="15.75" customHeight="1">
      <c r="C1977" s="47">
        <v>149939.0</v>
      </c>
      <c r="D1977" s="47" t="str">
        <f>VLOOKUP(C1977,'Equalização'!E:J,6,0)</f>
        <v>#N/A</v>
      </c>
    </row>
    <row r="1978" ht="15.75" customHeight="1">
      <c r="C1978" s="47">
        <v>221243.0</v>
      </c>
      <c r="D1978" s="47" t="str">
        <f>VLOOKUP(C1978,'Equalização'!E:J,6,0)</f>
        <v>#N/A</v>
      </c>
    </row>
    <row r="1979" ht="15.75" customHeight="1">
      <c r="C1979" s="47">
        <v>237777.0</v>
      </c>
      <c r="D1979" s="47" t="str">
        <f>VLOOKUP(C1979,'Equalização'!E:J,6,0)</f>
        <v>#N/A</v>
      </c>
    </row>
    <row r="1980" ht="15.75" customHeight="1">
      <c r="C1980" s="47">
        <v>168916.0</v>
      </c>
      <c r="D1980" s="47" t="str">
        <f>VLOOKUP(C1980,'Equalização'!E:J,6,0)</f>
        <v>#N/A</v>
      </c>
    </row>
    <row r="1981" ht="15.75" customHeight="1">
      <c r="C1981" s="47">
        <v>148781.0</v>
      </c>
      <c r="D1981" s="47" t="str">
        <f>VLOOKUP(C1981,'Equalização'!E:J,6,0)</f>
        <v>#N/A</v>
      </c>
    </row>
    <row r="1982" ht="15.75" customHeight="1">
      <c r="C1982" s="47">
        <v>221375.0</v>
      </c>
      <c r="D1982" s="47" t="str">
        <f>VLOOKUP(C1982,'Equalização'!E:J,6,0)</f>
        <v>#N/A</v>
      </c>
    </row>
    <row r="1983" ht="15.75" customHeight="1">
      <c r="C1983" s="47">
        <v>221380.0</v>
      </c>
      <c r="D1983" s="47" t="str">
        <f>VLOOKUP(C1983,'Equalização'!E:J,6,0)</f>
        <v>#N/A</v>
      </c>
    </row>
    <row r="1984" ht="15.75" customHeight="1">
      <c r="C1984" s="47">
        <v>227150.0</v>
      </c>
      <c r="D1984" s="47" t="str">
        <f>VLOOKUP(C1984,'Equalização'!E:J,6,0)</f>
        <v>#N/A</v>
      </c>
    </row>
    <row r="1985" ht="15.75" customHeight="1">
      <c r="C1985" s="47">
        <v>229545.0</v>
      </c>
      <c r="D1985" s="47" t="str">
        <f>VLOOKUP(C1985,'Equalização'!E:J,6,0)</f>
        <v>#N/A</v>
      </c>
    </row>
    <row r="1986" ht="15.75" customHeight="1">
      <c r="C1986" s="47">
        <v>57193.0</v>
      </c>
      <c r="D1986" s="47" t="str">
        <f>VLOOKUP(C1986,'Equalização'!E:J,6,0)</f>
        <v>#N/A</v>
      </c>
    </row>
    <row r="1987" ht="15.75" customHeight="1">
      <c r="C1987" s="47">
        <v>210671.0</v>
      </c>
      <c r="D1987" s="47" t="str">
        <f>VLOOKUP(C1987,'Equalização'!E:J,6,0)</f>
        <v>#N/A</v>
      </c>
    </row>
    <row r="1988" ht="15.75" customHeight="1">
      <c r="C1988" s="47">
        <v>213178.0</v>
      </c>
      <c r="D1988" s="47" t="str">
        <f>VLOOKUP(C1988,'Equalização'!E:J,6,0)</f>
        <v>#N/A</v>
      </c>
    </row>
    <row r="1989" ht="15.75" customHeight="1">
      <c r="C1989" s="47">
        <v>236450.0</v>
      </c>
      <c r="D1989" s="47" t="str">
        <f>VLOOKUP(C1989,'Equalização'!E:J,6,0)</f>
        <v>#N/A</v>
      </c>
    </row>
    <row r="1990" ht="15.75" customHeight="1">
      <c r="C1990" s="47">
        <v>224442.0</v>
      </c>
      <c r="D1990" s="47" t="str">
        <f>VLOOKUP(C1990,'Equalização'!E:J,6,0)</f>
        <v>#N/A</v>
      </c>
    </row>
    <row r="1991" ht="15.75" customHeight="1">
      <c r="C1991" s="47">
        <v>211196.0</v>
      </c>
      <c r="D1991" s="47" t="str">
        <f>VLOOKUP(C1991,'Equalização'!E:J,6,0)</f>
        <v>#N/A</v>
      </c>
    </row>
    <row r="1992" ht="15.75" customHeight="1">
      <c r="C1992" s="47">
        <v>180296.0</v>
      </c>
      <c r="D1992" s="47" t="str">
        <f>VLOOKUP(C1992,'Equalização'!E:J,6,0)</f>
        <v>#N/A</v>
      </c>
    </row>
    <row r="1993" ht="15.75" customHeight="1">
      <c r="C1993" s="47">
        <v>227918.0</v>
      </c>
      <c r="D1993" s="47" t="str">
        <f>VLOOKUP(C1993,'Equalização'!E:J,6,0)</f>
        <v>#N/A</v>
      </c>
    </row>
    <row r="1994" ht="15.75" customHeight="1">
      <c r="C1994" s="47">
        <v>205831.0</v>
      </c>
      <c r="D1994" s="47" t="str">
        <f>VLOOKUP(C1994,'Equalização'!E:J,6,0)</f>
        <v>#N/A</v>
      </c>
    </row>
    <row r="1995" ht="15.75" customHeight="1">
      <c r="C1995" s="47">
        <v>240743.0</v>
      </c>
      <c r="D1995" s="47" t="str">
        <f>VLOOKUP(C1995,'Equalização'!E:J,6,0)</f>
        <v>#N/A</v>
      </c>
    </row>
    <row r="1996" ht="15.75" customHeight="1">
      <c r="C1996" s="47">
        <v>225775.0</v>
      </c>
      <c r="D1996" s="47" t="str">
        <f>VLOOKUP(C1996,'Equalização'!E:J,6,0)</f>
        <v>#N/A</v>
      </c>
    </row>
    <row r="1997" ht="15.75" customHeight="1">
      <c r="C1997" s="47">
        <v>226264.0</v>
      </c>
      <c r="D1997" s="47" t="str">
        <f>VLOOKUP(C1997,'Equalização'!E:J,6,0)</f>
        <v>#N/A</v>
      </c>
    </row>
    <row r="1998" ht="15.75" customHeight="1">
      <c r="C1998" s="47">
        <v>240417.0</v>
      </c>
      <c r="D1998" s="47" t="str">
        <f>VLOOKUP(C1998,'Equalização'!E:J,6,0)</f>
        <v>#N/A</v>
      </c>
    </row>
    <row r="1999" ht="15.75" customHeight="1">
      <c r="C1999" s="47">
        <v>207186.0</v>
      </c>
      <c r="D1999" s="47" t="str">
        <f>VLOOKUP(C1999,'Equalização'!E:J,6,0)</f>
        <v>#N/A</v>
      </c>
    </row>
    <row r="2000" ht="15.75" customHeight="1">
      <c r="C2000" s="47">
        <v>240168.0</v>
      </c>
      <c r="D2000" s="47" t="str">
        <f>VLOOKUP(C2000,'Equalização'!E:J,6,0)</f>
        <v>#N/A</v>
      </c>
    </row>
    <row r="2001" ht="15.75" customHeight="1">
      <c r="C2001" s="47">
        <v>213032.0</v>
      </c>
      <c r="D2001" s="47" t="str">
        <f>VLOOKUP(C2001,'Equalização'!E:J,6,0)</f>
        <v>#N/A</v>
      </c>
    </row>
    <row r="2002" ht="15.75" customHeight="1">
      <c r="C2002" s="47">
        <v>214081.0</v>
      </c>
      <c r="D2002" s="47" t="str">
        <f>VLOOKUP(C2002,'Equalização'!E:J,6,0)</f>
        <v>#N/A</v>
      </c>
    </row>
    <row r="2003" ht="15.75" customHeight="1">
      <c r="C2003" s="47">
        <v>213087.0</v>
      </c>
      <c r="D2003" s="47" t="str">
        <f>VLOOKUP(C2003,'Equalização'!E:J,6,0)</f>
        <v>#N/A</v>
      </c>
    </row>
    <row r="2004" ht="15.75" customHeight="1">
      <c r="C2004" s="47">
        <v>205892.0</v>
      </c>
      <c r="D2004" s="47" t="str">
        <f>VLOOKUP(C2004,'Equalização'!E:J,6,0)</f>
        <v>#N/A</v>
      </c>
    </row>
    <row r="2005" ht="15.75" customHeight="1">
      <c r="C2005" s="47">
        <v>129164.0</v>
      </c>
      <c r="D2005" s="47" t="str">
        <f>VLOOKUP(C2005,'Equalização'!E:J,6,0)</f>
        <v>#N/A</v>
      </c>
    </row>
    <row r="2006" ht="15.75" customHeight="1">
      <c r="C2006" s="47">
        <v>56383.0</v>
      </c>
      <c r="D2006" s="47" t="str">
        <f>VLOOKUP(C2006,'Equalização'!E:J,6,0)</f>
        <v>#N/A</v>
      </c>
    </row>
    <row r="2007" ht="15.75" customHeight="1">
      <c r="C2007" s="47">
        <v>173549.0</v>
      </c>
      <c r="D2007" s="47" t="str">
        <f>VLOOKUP(C2007,'Equalização'!E:J,6,0)</f>
        <v>#N/A</v>
      </c>
    </row>
    <row r="2008" ht="15.75" customHeight="1">
      <c r="C2008" s="47">
        <v>239357.0</v>
      </c>
      <c r="D2008" s="47" t="str">
        <f>VLOOKUP(C2008,'Equalização'!E:J,6,0)</f>
        <v>#N/A</v>
      </c>
    </row>
    <row r="2009" ht="15.75" customHeight="1">
      <c r="C2009" s="47">
        <v>180294.0</v>
      </c>
      <c r="D2009" s="47" t="str">
        <f>VLOOKUP(C2009,'Equalização'!E:J,6,0)</f>
        <v>#N/A</v>
      </c>
    </row>
    <row r="2010" ht="15.75" customHeight="1">
      <c r="C2010" s="47">
        <v>240369.0</v>
      </c>
      <c r="D2010" s="47" t="str">
        <f>VLOOKUP(C2010,'Equalização'!E:J,6,0)</f>
        <v>#N/A</v>
      </c>
    </row>
    <row r="2011" ht="15.75" customHeight="1">
      <c r="C2011" s="47">
        <v>222469.0</v>
      </c>
      <c r="D2011" s="47" t="str">
        <f>VLOOKUP(C2011,'Equalização'!E:J,6,0)</f>
        <v>#N/A</v>
      </c>
    </row>
    <row r="2012" ht="15.75" customHeight="1">
      <c r="C2012" s="47">
        <v>224613.0</v>
      </c>
      <c r="D2012" s="47" t="str">
        <f>VLOOKUP(C2012,'Equalização'!E:J,6,0)</f>
        <v>#N/A</v>
      </c>
    </row>
    <row r="2013" ht="15.75" customHeight="1">
      <c r="C2013" s="47">
        <v>225921.0</v>
      </c>
      <c r="D2013" s="47" t="str">
        <f>VLOOKUP(C2013,'Equalização'!E:J,6,0)</f>
        <v>#N/A</v>
      </c>
    </row>
    <row r="2014" ht="15.75" customHeight="1">
      <c r="C2014" s="47">
        <v>213514.0</v>
      </c>
      <c r="D2014" s="47" t="str">
        <f>VLOOKUP(C2014,'Equalização'!E:J,6,0)</f>
        <v>#N/A</v>
      </c>
    </row>
    <row r="2015" ht="15.75" customHeight="1">
      <c r="C2015" s="47">
        <v>205926.0</v>
      </c>
      <c r="D2015" s="47" t="str">
        <f>VLOOKUP(C2015,'Equalização'!E:J,6,0)</f>
        <v>#N/A</v>
      </c>
    </row>
    <row r="2016" ht="15.75" customHeight="1">
      <c r="C2016" s="47">
        <v>205927.0</v>
      </c>
      <c r="D2016" s="47" t="str">
        <f>VLOOKUP(C2016,'Equalização'!E:J,6,0)</f>
        <v>#N/A</v>
      </c>
    </row>
    <row r="2017" ht="15.75" customHeight="1">
      <c r="C2017" s="47">
        <v>206077.0</v>
      </c>
      <c r="D2017" s="47" t="str">
        <f>VLOOKUP(C2017,'Equalização'!E:J,6,0)</f>
        <v>#N/A</v>
      </c>
    </row>
    <row r="2018" ht="15.75" customHeight="1">
      <c r="C2018" s="47">
        <v>225876.0</v>
      </c>
      <c r="D2018" s="47" t="str">
        <f>VLOOKUP(C2018,'Equalização'!E:J,6,0)</f>
        <v>#N/A</v>
      </c>
    </row>
    <row r="2019" ht="15.75" customHeight="1">
      <c r="C2019" s="47">
        <v>207163.0</v>
      </c>
      <c r="D2019" s="47" t="str">
        <f>VLOOKUP(C2019,'Equalização'!E:J,6,0)</f>
        <v>#N/A</v>
      </c>
    </row>
    <row r="2020" ht="15.75" customHeight="1">
      <c r="C2020" s="47">
        <v>240344.0</v>
      </c>
      <c r="D2020" s="47" t="str">
        <f>VLOOKUP(C2020,'Equalização'!E:J,6,0)</f>
        <v>#N/A</v>
      </c>
    </row>
    <row r="2021" ht="15.75" customHeight="1">
      <c r="C2021" s="47">
        <v>211628.0</v>
      </c>
      <c r="D2021" s="47" t="str">
        <f>VLOOKUP(C2021,'Equalização'!E:J,6,0)</f>
        <v>#N/A</v>
      </c>
    </row>
    <row r="2022" ht="15.75" customHeight="1">
      <c r="C2022" s="47">
        <v>101621.0</v>
      </c>
      <c r="D2022" s="47" t="str">
        <f>VLOOKUP(C2022,'Equalização'!E:J,6,0)</f>
        <v>#N/A</v>
      </c>
    </row>
    <row r="2023" ht="15.75" customHeight="1">
      <c r="C2023" s="47">
        <v>213102.0</v>
      </c>
      <c r="D2023" s="47" t="str">
        <f>VLOOKUP(C2023,'Equalização'!E:J,6,0)</f>
        <v>#N/A</v>
      </c>
    </row>
    <row r="2024" ht="15.75" customHeight="1">
      <c r="C2024" s="47">
        <v>211308.0</v>
      </c>
      <c r="D2024" s="47" t="str">
        <f>VLOOKUP(C2024,'Equalização'!E:J,6,0)</f>
        <v>#N/A</v>
      </c>
    </row>
    <row r="2025" ht="15.75" customHeight="1">
      <c r="C2025" s="47">
        <v>210470.0</v>
      </c>
      <c r="D2025" s="47" t="str">
        <f>VLOOKUP(C2025,'Equalização'!E:J,6,0)</f>
        <v>#N/A</v>
      </c>
    </row>
    <row r="2026" ht="15.75" customHeight="1">
      <c r="C2026" s="47">
        <v>222378.0</v>
      </c>
      <c r="D2026" s="47" t="str">
        <f>VLOOKUP(C2026,'Equalização'!E:J,6,0)</f>
        <v>#N/A</v>
      </c>
    </row>
    <row r="2027" ht="15.75" customHeight="1">
      <c r="C2027" s="47">
        <v>207391.0</v>
      </c>
      <c r="D2027" s="47" t="str">
        <f>VLOOKUP(C2027,'Equalização'!E:J,6,0)</f>
        <v>#N/A</v>
      </c>
    </row>
    <row r="2028" ht="15.75" customHeight="1">
      <c r="C2028" s="47">
        <v>206100.0</v>
      </c>
      <c r="D2028" s="47" t="str">
        <f>VLOOKUP(C2028,'Equalização'!E:J,6,0)</f>
        <v>#N/A</v>
      </c>
    </row>
    <row r="2029" ht="15.75" customHeight="1">
      <c r="C2029" s="47">
        <v>237477.0</v>
      </c>
      <c r="D2029" s="47" t="str">
        <f>VLOOKUP(C2029,'Equalização'!E:J,6,0)</f>
        <v>#N/A</v>
      </c>
    </row>
    <row r="2030" ht="15.75" customHeight="1">
      <c r="C2030" s="47">
        <v>53317.0</v>
      </c>
      <c r="D2030" s="47" t="str">
        <f>VLOOKUP(C2030,'Equalização'!E:J,6,0)</f>
        <v>#N/A</v>
      </c>
    </row>
    <row r="2031" ht="15.75" customHeight="1">
      <c r="C2031" s="47">
        <v>206010.0</v>
      </c>
      <c r="D2031" s="47" t="str">
        <f>VLOOKUP(C2031,'Equalização'!E:J,6,0)</f>
        <v>#N/A</v>
      </c>
    </row>
    <row r="2032" ht="15.75" customHeight="1">
      <c r="C2032" s="47">
        <v>208034.0</v>
      </c>
      <c r="D2032" s="47" t="str">
        <f>VLOOKUP(C2032,'Equalização'!E:J,6,0)</f>
        <v>#N/A</v>
      </c>
    </row>
    <row r="2033" ht="15.75" customHeight="1">
      <c r="C2033" s="47">
        <v>206050.0</v>
      </c>
      <c r="D2033" s="47" t="str">
        <f>VLOOKUP(C2033,'Equalização'!E:J,6,0)</f>
        <v>#N/A</v>
      </c>
    </row>
    <row r="2034" ht="15.75" customHeight="1">
      <c r="C2034" s="47">
        <v>124180.0</v>
      </c>
      <c r="D2034" s="47" t="str">
        <f>VLOOKUP(C2034,'Equalização'!E:J,6,0)</f>
        <v>#N/A</v>
      </c>
    </row>
    <row r="2035" ht="15.75" customHeight="1">
      <c r="C2035" s="47">
        <v>178903.0</v>
      </c>
      <c r="D2035" s="47" t="str">
        <f>VLOOKUP(C2035,'Equalização'!E:J,6,0)</f>
        <v>#N/A</v>
      </c>
    </row>
    <row r="2036" ht="15.75" customHeight="1">
      <c r="C2036" s="47">
        <v>187099.0</v>
      </c>
      <c r="D2036" s="47" t="str">
        <f>VLOOKUP(C2036,'Equalização'!E:J,6,0)</f>
        <v>#N/A</v>
      </c>
    </row>
    <row r="2037" ht="15.75" customHeight="1">
      <c r="C2037" s="47">
        <v>222464.0</v>
      </c>
      <c r="D2037" s="47" t="str">
        <f>VLOOKUP(C2037,'Equalização'!E:J,6,0)</f>
        <v>#N/A</v>
      </c>
    </row>
    <row r="2038" ht="15.75" customHeight="1">
      <c r="C2038" s="47">
        <v>226348.0</v>
      </c>
      <c r="D2038" s="47" t="str">
        <f>VLOOKUP(C2038,'Equalização'!E:J,6,0)</f>
        <v>#N/A</v>
      </c>
    </row>
    <row r="2039" ht="15.75" customHeight="1">
      <c r="C2039" s="47">
        <v>207160.0</v>
      </c>
      <c r="D2039" s="47" t="str">
        <f>VLOOKUP(C2039,'Equalização'!E:J,6,0)</f>
        <v>#N/A</v>
      </c>
    </row>
    <row r="2040" ht="15.75" customHeight="1">
      <c r="C2040" s="47">
        <v>239376.0</v>
      </c>
      <c r="D2040" s="47" t="str">
        <f>VLOOKUP(C2040,'Equalização'!E:J,6,0)</f>
        <v>#N/A</v>
      </c>
    </row>
    <row r="2041" ht="15.75" customHeight="1">
      <c r="C2041" s="47">
        <v>236822.0</v>
      </c>
      <c r="D2041" s="47" t="str">
        <f>VLOOKUP(C2041,'Equalização'!E:J,6,0)</f>
        <v>#N/A</v>
      </c>
    </row>
    <row r="2042" ht="15.75" customHeight="1">
      <c r="C2042" s="47">
        <v>224824.0</v>
      </c>
      <c r="D2042" s="47" t="str">
        <f>VLOOKUP(C2042,'Equalização'!E:J,6,0)</f>
        <v>#N/A</v>
      </c>
    </row>
    <row r="2043" ht="15.75" customHeight="1">
      <c r="C2043" s="47">
        <v>210631.0</v>
      </c>
      <c r="D2043" s="47" t="str">
        <f>VLOOKUP(C2043,'Equalização'!E:J,6,0)</f>
        <v>#N/A</v>
      </c>
    </row>
    <row r="2044" ht="15.75" customHeight="1">
      <c r="C2044" s="47">
        <v>226323.0</v>
      </c>
      <c r="D2044" s="47" t="str">
        <f>VLOOKUP(C2044,'Equalização'!E:J,6,0)</f>
        <v>#N/A</v>
      </c>
    </row>
    <row r="2045" ht="15.75" customHeight="1">
      <c r="C2045" s="47">
        <v>126483.0</v>
      </c>
      <c r="D2045" s="47" t="str">
        <f>VLOOKUP(C2045,'Equalização'!E:J,6,0)</f>
        <v>#N/A</v>
      </c>
    </row>
    <row r="2046" ht="15.75" customHeight="1">
      <c r="C2046" s="47">
        <v>237278.0</v>
      </c>
      <c r="D2046" s="47" t="str">
        <f>VLOOKUP(C2046,'Equalização'!E:J,6,0)</f>
        <v>#N/A</v>
      </c>
    </row>
    <row r="2047" ht="15.75" customHeight="1">
      <c r="C2047" s="47">
        <v>237783.0</v>
      </c>
      <c r="D2047" s="47" t="str">
        <f>VLOOKUP(C2047,'Equalização'!E:J,6,0)</f>
        <v>#N/A</v>
      </c>
    </row>
    <row r="2048" ht="15.75" customHeight="1">
      <c r="C2048" s="47">
        <v>192183.0</v>
      </c>
      <c r="D2048" s="47" t="str">
        <f>VLOOKUP(C2048,'Equalização'!E:J,6,0)</f>
        <v>#N/A</v>
      </c>
    </row>
    <row r="2049" ht="15.75" customHeight="1">
      <c r="C2049" s="47">
        <v>240513.0</v>
      </c>
      <c r="D2049" s="47" t="str">
        <f>VLOOKUP(C2049,'Equalização'!E:J,6,0)</f>
        <v>#N/A</v>
      </c>
    </row>
    <row r="2050" ht="15.75" customHeight="1">
      <c r="C2050" s="47">
        <v>213000.0</v>
      </c>
      <c r="D2050" s="47" t="str">
        <f>VLOOKUP(C2050,'Equalização'!E:J,6,0)</f>
        <v>#N/A</v>
      </c>
    </row>
    <row r="2051" ht="15.75" customHeight="1">
      <c r="C2051" s="47">
        <v>213035.0</v>
      </c>
      <c r="D2051" s="47" t="str">
        <f>VLOOKUP(C2051,'Equalização'!E:J,6,0)</f>
        <v>#N/A</v>
      </c>
    </row>
    <row r="2052" ht="15.75" customHeight="1">
      <c r="C2052" s="47">
        <v>240749.0</v>
      </c>
      <c r="D2052" s="47" t="str">
        <f>VLOOKUP(C2052,'Equalização'!E:J,6,0)</f>
        <v>#N/A</v>
      </c>
    </row>
    <row r="2053" ht="15.75" customHeight="1">
      <c r="C2053" s="47">
        <v>238291.0</v>
      </c>
      <c r="D2053" s="47" t="str">
        <f>VLOOKUP(C2053,'Equalização'!E:J,6,0)</f>
        <v>#N/A</v>
      </c>
    </row>
    <row r="2054" ht="15.75" customHeight="1">
      <c r="C2054" s="47">
        <v>238594.0</v>
      </c>
      <c r="D2054" s="47" t="str">
        <f>VLOOKUP(C2054,'Equalização'!E:J,6,0)</f>
        <v>#N/A</v>
      </c>
    </row>
    <row r="2055" ht="15.75" customHeight="1">
      <c r="C2055" s="47">
        <v>238601.0</v>
      </c>
      <c r="D2055" s="47" t="str">
        <f>VLOOKUP(C2055,'Equalização'!E:J,6,0)</f>
        <v>#N/A</v>
      </c>
    </row>
    <row r="2056" ht="15.75" customHeight="1">
      <c r="C2056" s="47">
        <v>238604.0</v>
      </c>
      <c r="D2056" s="47" t="str">
        <f>VLOOKUP(C2056,'Equalização'!E:J,6,0)</f>
        <v>#N/A</v>
      </c>
    </row>
    <row r="2057" ht="15.75" customHeight="1">
      <c r="C2057" s="47">
        <v>238609.0</v>
      </c>
      <c r="D2057" s="47" t="str">
        <f>VLOOKUP(C2057,'Equalização'!E:J,6,0)</f>
        <v>#N/A</v>
      </c>
    </row>
    <row r="2058" ht="15.75" customHeight="1">
      <c r="C2058" s="47">
        <v>238615.0</v>
      </c>
      <c r="D2058" s="47" t="str">
        <f>VLOOKUP(C2058,'Equalização'!E:J,6,0)</f>
        <v>#N/A</v>
      </c>
    </row>
    <row r="2059" ht="15.75" customHeight="1">
      <c r="C2059" s="47">
        <v>211624.0</v>
      </c>
      <c r="D2059" s="47" t="str">
        <f>VLOOKUP(C2059,'Equalização'!E:J,6,0)</f>
        <v>#N/A</v>
      </c>
    </row>
    <row r="2060" ht="15.75" customHeight="1">
      <c r="C2060" s="47">
        <v>237756.0</v>
      </c>
      <c r="D2060" s="47" t="str">
        <f>VLOOKUP(C2060,'Equalização'!E:J,6,0)</f>
        <v>#N/A</v>
      </c>
    </row>
    <row r="2061" ht="15.75" customHeight="1">
      <c r="C2061" s="47">
        <v>205891.0</v>
      </c>
      <c r="D2061" s="47" t="str">
        <f>VLOOKUP(C2061,'Equalização'!E:J,6,0)</f>
        <v>#N/A</v>
      </c>
    </row>
    <row r="2062" ht="15.75" customHeight="1">
      <c r="C2062" s="47">
        <v>225514.0</v>
      </c>
      <c r="D2062" s="47" t="str">
        <f>VLOOKUP(C2062,'Equalização'!E:J,6,0)</f>
        <v>#N/A</v>
      </c>
    </row>
    <row r="2063" ht="15.75" customHeight="1">
      <c r="C2063" s="47">
        <v>205901.0</v>
      </c>
      <c r="D2063" s="47" t="str">
        <f>VLOOKUP(C2063,'Equalização'!E:J,6,0)</f>
        <v>#N/A</v>
      </c>
    </row>
    <row r="2064" ht="15.75" customHeight="1">
      <c r="C2064" s="47">
        <v>240436.0</v>
      </c>
      <c r="D2064" s="47" t="str">
        <f>VLOOKUP(C2064,'Equalização'!E:J,6,0)</f>
        <v>#N/A</v>
      </c>
    </row>
    <row r="2065" ht="15.75" customHeight="1">
      <c r="C2065" s="47">
        <v>206011.0</v>
      </c>
      <c r="D2065" s="47" t="str">
        <f>VLOOKUP(C2065,'Equalização'!E:J,6,0)</f>
        <v>#N/A</v>
      </c>
    </row>
    <row r="2066" ht="15.75" customHeight="1">
      <c r="C2066" s="47">
        <v>195740.0</v>
      </c>
      <c r="D2066" s="47" t="str">
        <f>VLOOKUP(C2066,'Equalização'!E:J,6,0)</f>
        <v>#N/A</v>
      </c>
    </row>
    <row r="2067" ht="15.75" customHeight="1">
      <c r="C2067" s="47">
        <v>225123.0</v>
      </c>
      <c r="D2067" s="47" t="str">
        <f>VLOOKUP(C2067,'Equalização'!E:J,6,0)</f>
        <v>#N/A</v>
      </c>
    </row>
    <row r="2068" ht="15.75" customHeight="1">
      <c r="C2068" s="47">
        <v>225899.0</v>
      </c>
      <c r="D2068" s="47" t="str">
        <f>VLOOKUP(C2068,'Equalização'!E:J,6,0)</f>
        <v>#N/A</v>
      </c>
    </row>
    <row r="2069" ht="15.75" customHeight="1">
      <c r="C2069" s="47">
        <v>224012.0</v>
      </c>
      <c r="D2069" s="47" t="str">
        <f>VLOOKUP(C2069,'Equalização'!E:J,6,0)</f>
        <v>#N/A</v>
      </c>
    </row>
    <row r="2070" ht="15.75" customHeight="1">
      <c r="C2070" s="47">
        <v>240361.0</v>
      </c>
      <c r="D2070" s="47" t="str">
        <f>VLOOKUP(C2070,'Equalização'!E:J,6,0)</f>
        <v>#N/A</v>
      </c>
    </row>
    <row r="2071" ht="15.75" customHeight="1">
      <c r="C2071" s="47">
        <v>240444.0</v>
      </c>
      <c r="D2071" s="47" t="str">
        <f>VLOOKUP(C2071,'Equalização'!E:J,6,0)</f>
        <v>#N/A</v>
      </c>
    </row>
    <row r="2072" ht="15.75" customHeight="1">
      <c r="C2072" s="47">
        <v>204486.0</v>
      </c>
      <c r="D2072" s="47" t="str">
        <f>VLOOKUP(C2072,'Equalização'!E:J,6,0)</f>
        <v>#N/A</v>
      </c>
    </row>
    <row r="2073" ht="15.75" customHeight="1">
      <c r="C2073" s="47">
        <v>172729.0</v>
      </c>
      <c r="D2073" s="47" t="str">
        <f>VLOOKUP(C2073,'Equalização'!E:J,6,0)</f>
        <v>#N/A</v>
      </c>
    </row>
    <row r="2074" ht="15.75" customHeight="1">
      <c r="C2074" s="47">
        <v>239278.0</v>
      </c>
      <c r="D2074" s="47" t="str">
        <f>VLOOKUP(C2074,'Equalização'!E:J,6,0)</f>
        <v>#N/A</v>
      </c>
    </row>
    <row r="2075" ht="15.75" customHeight="1">
      <c r="C2075" s="47">
        <v>228786.0</v>
      </c>
      <c r="D2075" s="47" t="str">
        <f>VLOOKUP(C2075,'Equalização'!E:J,6,0)</f>
        <v>#N/A</v>
      </c>
    </row>
    <row r="2076" ht="15.75" customHeight="1">
      <c r="C2076" s="47">
        <v>226325.0</v>
      </c>
      <c r="D2076" s="47" t="str">
        <f>VLOOKUP(C2076,'Equalização'!E:J,6,0)</f>
        <v>#N/A</v>
      </c>
    </row>
    <row r="2077" ht="15.75" customHeight="1">
      <c r="C2077" s="47">
        <v>169048.0</v>
      </c>
      <c r="D2077" s="47" t="str">
        <f>VLOOKUP(C2077,'Equalização'!E:J,6,0)</f>
        <v>#N/A</v>
      </c>
    </row>
    <row r="2078" ht="15.75" customHeight="1">
      <c r="C2078" s="47">
        <v>213023.0</v>
      </c>
      <c r="D2078" s="47" t="str">
        <f>VLOOKUP(C2078,'Equalização'!E:J,6,0)</f>
        <v>#N/A</v>
      </c>
    </row>
    <row r="2079" ht="15.75" customHeight="1">
      <c r="C2079" s="47">
        <v>109762.0</v>
      </c>
      <c r="D2079" s="47" t="str">
        <f>VLOOKUP(C2079,'Equalização'!E:J,6,0)</f>
        <v>#N/A</v>
      </c>
    </row>
    <row r="2080" ht="15.75" customHeight="1">
      <c r="C2080" s="47">
        <v>240770.0</v>
      </c>
      <c r="D2080" s="47" t="str">
        <f>VLOOKUP(C2080,'Equalização'!E:J,6,0)</f>
        <v>#N/A</v>
      </c>
    </row>
    <row r="2081" ht="15.75" customHeight="1">
      <c r="C2081" s="47">
        <v>213131.0</v>
      </c>
      <c r="D2081" s="47" t="str">
        <f>VLOOKUP(C2081,'Equalização'!E:J,6,0)</f>
        <v>#N/A</v>
      </c>
    </row>
    <row r="2082" ht="15.75" customHeight="1">
      <c r="C2082" s="47">
        <v>33987.0</v>
      </c>
      <c r="D2082" s="47" t="str">
        <f>VLOOKUP(C2082,'Equalização'!E:J,6,0)</f>
        <v>#N/A</v>
      </c>
    </row>
    <row r="2083" ht="15.75" customHeight="1">
      <c r="C2083" s="47">
        <v>210739.0</v>
      </c>
      <c r="D2083" s="47" t="str">
        <f>VLOOKUP(C2083,'Equalização'!E:J,6,0)</f>
        <v>#N/A</v>
      </c>
    </row>
    <row r="2084" ht="15.75" customHeight="1">
      <c r="C2084" s="47">
        <v>205896.0</v>
      </c>
      <c r="D2084" s="47" t="str">
        <f>VLOOKUP(C2084,'Equalização'!E:J,6,0)</f>
        <v>#N/A</v>
      </c>
    </row>
    <row r="2085" ht="15.75" customHeight="1">
      <c r="C2085" s="47">
        <v>207356.0</v>
      </c>
      <c r="D2085" s="47" t="str">
        <f>VLOOKUP(C2085,'Equalização'!E:J,6,0)</f>
        <v>#N/A</v>
      </c>
    </row>
    <row r="2086" ht="15.75" customHeight="1">
      <c r="C2086" s="47">
        <v>221393.0</v>
      </c>
      <c r="D2086" s="47" t="str">
        <f>VLOOKUP(C2086,'Equalização'!E:J,6,0)</f>
        <v>#N/A</v>
      </c>
    </row>
    <row r="2087" ht="15.75" customHeight="1">
      <c r="C2087" s="47">
        <v>237769.0</v>
      </c>
      <c r="D2087" s="47" t="str">
        <f>VLOOKUP(C2087,'Equalização'!E:J,6,0)</f>
        <v>#N/A</v>
      </c>
    </row>
    <row r="2088" ht="15.75" customHeight="1">
      <c r="C2088" s="47">
        <v>238607.0</v>
      </c>
      <c r="D2088" s="47" t="str">
        <f>VLOOKUP(C2088,'Equalização'!E:J,6,0)</f>
        <v>#N/A</v>
      </c>
    </row>
    <row r="2089" ht="15.75" customHeight="1">
      <c r="C2089" s="47">
        <v>211033.0</v>
      </c>
      <c r="D2089" s="47" t="str">
        <f>VLOOKUP(C2089,'Equalização'!E:J,6,0)</f>
        <v>#N/A</v>
      </c>
    </row>
    <row r="2090" ht="15.75" customHeight="1">
      <c r="C2090" s="47">
        <v>222372.0</v>
      </c>
      <c r="D2090" s="47" t="str">
        <f>VLOOKUP(C2090,'Equalização'!E:J,6,0)</f>
        <v>#N/A</v>
      </c>
    </row>
    <row r="2091" ht="15.75" customHeight="1">
      <c r="C2091" s="47">
        <v>225824.0</v>
      </c>
      <c r="D2091" s="47" t="str">
        <f>VLOOKUP(C2091,'Equalização'!E:J,6,0)</f>
        <v>#N/A</v>
      </c>
    </row>
    <row r="2092" ht="15.75" customHeight="1">
      <c r="C2092" s="47">
        <v>238301.0</v>
      </c>
      <c r="D2092" s="47" t="str">
        <f>VLOOKUP(C2092,'Equalização'!E:J,6,0)</f>
        <v>#N/A</v>
      </c>
    </row>
    <row r="2093" ht="15.75" customHeight="1">
      <c r="C2093" s="47">
        <v>108570.0</v>
      </c>
      <c r="D2093" s="47" t="str">
        <f>VLOOKUP(C2093,'Equalização'!E:J,6,0)</f>
        <v>#N/A</v>
      </c>
    </row>
    <row r="2094" ht="15.75" customHeight="1">
      <c r="C2094" s="47">
        <v>237915.0</v>
      </c>
      <c r="D2094" s="47" t="str">
        <f>VLOOKUP(C2094,'Equalização'!E:J,6,0)</f>
        <v>#N/A</v>
      </c>
    </row>
    <row r="2095" ht="15.75" customHeight="1">
      <c r="C2095" s="47">
        <v>207523.0</v>
      </c>
      <c r="D2095" s="47" t="str">
        <f>VLOOKUP(C2095,'Equalização'!E:J,6,0)</f>
        <v>#N/A</v>
      </c>
    </row>
    <row r="2096" ht="15.75" customHeight="1">
      <c r="C2096" s="47">
        <v>214212.0</v>
      </c>
      <c r="D2096" s="47" t="str">
        <f>VLOOKUP(C2096,'Equalização'!E:J,6,0)</f>
        <v>#N/A</v>
      </c>
    </row>
    <row r="2097" ht="15.75" customHeight="1">
      <c r="C2097" s="47">
        <v>218978.0</v>
      </c>
      <c r="D2097" s="47" t="str">
        <f>VLOOKUP(C2097,'Equalização'!E:J,6,0)</f>
        <v>#N/A</v>
      </c>
    </row>
    <row r="2098" ht="15.75" customHeight="1">
      <c r="C2098" s="47">
        <v>206031.0</v>
      </c>
      <c r="D2098" s="47" t="str">
        <f>VLOOKUP(C2098,'Equalização'!E:J,6,0)</f>
        <v>#N/A</v>
      </c>
    </row>
    <row r="2099" ht="15.75" customHeight="1">
      <c r="C2099" s="47">
        <v>169370.0</v>
      </c>
      <c r="D2099" s="47" t="str">
        <f>VLOOKUP(C2099,'Equalização'!E:J,6,0)</f>
        <v>#N/A</v>
      </c>
    </row>
    <row r="2100" ht="15.75" customHeight="1">
      <c r="C2100" s="47">
        <v>220649.0</v>
      </c>
      <c r="D2100" s="47" t="str">
        <f>VLOOKUP(C2100,'Equalização'!E:J,6,0)</f>
        <v>#N/A</v>
      </c>
    </row>
    <row r="2101" ht="15.75" customHeight="1">
      <c r="C2101" s="47">
        <v>170584.0</v>
      </c>
      <c r="D2101" s="47" t="str">
        <f>VLOOKUP(C2101,'Equalização'!E:J,6,0)</f>
        <v>#N/A</v>
      </c>
    </row>
    <row r="2102" ht="15.75" customHeight="1">
      <c r="C2102" s="47">
        <v>213054.0</v>
      </c>
      <c r="D2102" s="47" t="str">
        <f>VLOOKUP(C2102,'Equalização'!E:J,6,0)</f>
        <v>#N/A</v>
      </c>
    </row>
    <row r="2103" ht="15.75" customHeight="1">
      <c r="C2103" s="47">
        <v>206009.0</v>
      </c>
      <c r="D2103" s="47" t="str">
        <f>VLOOKUP(C2103,'Equalização'!E:J,6,0)</f>
        <v>#N/A</v>
      </c>
    </row>
    <row r="2104" ht="15.75" customHeight="1">
      <c r="C2104" s="47">
        <v>206084.0</v>
      </c>
      <c r="D2104" s="47" t="str">
        <f>VLOOKUP(C2104,'Equalização'!E:J,6,0)</f>
        <v>#N/A</v>
      </c>
    </row>
    <row r="2105" ht="15.75" customHeight="1">
      <c r="C2105" s="47">
        <v>226187.0</v>
      </c>
      <c r="D2105" s="47" t="str">
        <f>VLOOKUP(C2105,'Equalização'!E:J,6,0)</f>
        <v>#N/A</v>
      </c>
    </row>
    <row r="2106" ht="15.75" customHeight="1">
      <c r="C2106" s="47">
        <v>238545.0</v>
      </c>
      <c r="D2106" s="47" t="str">
        <f>VLOOKUP(C2106,'Equalização'!E:J,6,0)</f>
        <v>#N/A</v>
      </c>
    </row>
    <row r="2107" ht="15.75" customHeight="1">
      <c r="C2107" s="47">
        <v>240751.0</v>
      </c>
      <c r="D2107" s="47" t="str">
        <f>VLOOKUP(C2107,'Equalização'!E:J,6,0)</f>
        <v>#N/A</v>
      </c>
    </row>
    <row r="2108" ht="15.75" customHeight="1">
      <c r="C2108" s="47">
        <v>227759.0</v>
      </c>
      <c r="D2108" s="47" t="str">
        <f>VLOOKUP(C2108,'Equalização'!E:J,6,0)</f>
        <v>#N/A</v>
      </c>
    </row>
    <row r="2109" ht="15.75" customHeight="1">
      <c r="C2109" s="47">
        <v>240455.0</v>
      </c>
      <c r="D2109" s="47" t="str">
        <f>VLOOKUP(C2109,'Equalização'!E:J,6,0)</f>
        <v>#N/A</v>
      </c>
    </row>
    <row r="2110" ht="15.75" customHeight="1">
      <c r="C2110" s="47">
        <v>240202.0</v>
      </c>
      <c r="D2110" s="47" t="str">
        <f>VLOOKUP(C2110,'Equalização'!E:J,6,0)</f>
        <v>#N/A</v>
      </c>
    </row>
    <row r="2111" ht="15.75" customHeight="1">
      <c r="C2111" s="47">
        <v>240435.0</v>
      </c>
      <c r="D2111" s="47" t="str">
        <f>VLOOKUP(C2111,'Equalização'!E:J,6,0)</f>
        <v>#N/A</v>
      </c>
    </row>
    <row r="2112" ht="15.75" customHeight="1">
      <c r="C2112" s="47">
        <v>240505.0</v>
      </c>
      <c r="D2112" s="47" t="str">
        <f>VLOOKUP(C2112,'Equalização'!E:J,6,0)</f>
        <v>#N/A</v>
      </c>
    </row>
    <row r="2113" ht="15.75" customHeight="1">
      <c r="C2113" s="47">
        <v>206080.0</v>
      </c>
      <c r="D2113" s="47" t="str">
        <f>VLOOKUP(C2113,'Equalização'!E:J,6,0)</f>
        <v>#N/A</v>
      </c>
    </row>
    <row r="2114" ht="15.75" customHeight="1">
      <c r="C2114" s="47">
        <v>34002.0</v>
      </c>
      <c r="D2114" s="47" t="str">
        <f>VLOOKUP(C2114,'Equalização'!E:J,6,0)</f>
        <v>#N/A</v>
      </c>
    </row>
    <row r="2115" ht="15.75" customHeight="1">
      <c r="C2115" s="47">
        <v>239724.0</v>
      </c>
      <c r="D2115" s="47" t="str">
        <f>VLOOKUP(C2115,'Equalização'!E:J,6,0)</f>
        <v>#N/A</v>
      </c>
    </row>
    <row r="2116" ht="15.75" customHeight="1">
      <c r="C2116" s="47">
        <v>240375.0</v>
      </c>
      <c r="D2116" s="47" t="str">
        <f>VLOOKUP(C2116,'Equalização'!E:J,6,0)</f>
        <v>#N/A</v>
      </c>
    </row>
    <row r="2117" ht="15.75" customHeight="1">
      <c r="C2117" s="47">
        <v>225780.0</v>
      </c>
      <c r="D2117" s="47" t="str">
        <f>VLOOKUP(C2117,'Equalização'!E:J,6,0)</f>
        <v>#N/A</v>
      </c>
    </row>
    <row r="2118" ht="15.75" customHeight="1">
      <c r="C2118" s="47">
        <v>223681.0</v>
      </c>
      <c r="D2118" s="47" t="str">
        <f>VLOOKUP(C2118,'Equalização'!E:J,6,0)</f>
        <v>#N/A</v>
      </c>
    </row>
    <row r="2119" ht="15.75" customHeight="1">
      <c r="C2119" s="47">
        <v>209783.0</v>
      </c>
      <c r="D2119" s="47" t="str">
        <f>VLOOKUP(C2119,'Equalização'!E:J,6,0)</f>
        <v>#N/A</v>
      </c>
    </row>
    <row r="2120" ht="15.75" customHeight="1">
      <c r="C2120" s="47">
        <v>220176.0</v>
      </c>
      <c r="D2120" s="47" t="str">
        <f>VLOOKUP(C2120,'Equalização'!E:J,6,0)</f>
        <v>#N/A</v>
      </c>
    </row>
    <row r="2121" ht="15.75" customHeight="1">
      <c r="C2121" s="47">
        <v>226326.0</v>
      </c>
      <c r="D2121" s="47" t="str">
        <f>VLOOKUP(C2121,'Equalização'!E:J,6,0)</f>
        <v>#N/A</v>
      </c>
    </row>
    <row r="2122" ht="15.75" customHeight="1">
      <c r="C2122" s="47">
        <v>227319.0</v>
      </c>
      <c r="D2122" s="47" t="str">
        <f>VLOOKUP(C2122,'Equalização'!E:J,6,0)</f>
        <v>#N/A</v>
      </c>
    </row>
    <row r="2123" ht="15.75" customHeight="1">
      <c r="C2123" s="47">
        <v>237218.0</v>
      </c>
      <c r="D2123" s="47" t="str">
        <f>VLOOKUP(C2123,'Equalização'!E:J,6,0)</f>
        <v>#N/A</v>
      </c>
    </row>
    <row r="2124" ht="15.75" customHeight="1">
      <c r="C2124" s="47">
        <v>240335.0</v>
      </c>
      <c r="D2124" s="47" t="str">
        <f>VLOOKUP(C2124,'Equalização'!E:J,6,0)</f>
        <v>#N/A</v>
      </c>
    </row>
    <row r="2125" ht="15.75" customHeight="1">
      <c r="C2125" s="47">
        <v>153142.0</v>
      </c>
      <c r="D2125" s="47" t="str">
        <f>VLOOKUP(C2125,'Equalização'!E:J,6,0)</f>
        <v>#N/A</v>
      </c>
    </row>
    <row r="2126" ht="15.75" customHeight="1">
      <c r="C2126" s="47">
        <v>217097.0</v>
      </c>
      <c r="D2126" s="47" t="str">
        <f>VLOOKUP(C2126,'Equalização'!E:J,6,0)</f>
        <v>#N/A</v>
      </c>
    </row>
    <row r="2127" ht="15.75" customHeight="1">
      <c r="C2127" s="47">
        <v>205919.0</v>
      </c>
      <c r="D2127" s="47" t="str">
        <f>VLOOKUP(C2127,'Equalização'!E:J,6,0)</f>
        <v>#N/A</v>
      </c>
    </row>
    <row r="2128" ht="15.75" customHeight="1">
      <c r="C2128" s="47">
        <v>124682.0</v>
      </c>
      <c r="D2128" s="47" t="str">
        <f>VLOOKUP(C2128,'Equalização'!E:J,6,0)</f>
        <v>#N/A</v>
      </c>
    </row>
    <row r="2129" ht="15.75" customHeight="1">
      <c r="C2129" s="47">
        <v>240358.0</v>
      </c>
      <c r="D2129" s="47" t="str">
        <f>VLOOKUP(C2129,'Equalização'!E:J,6,0)</f>
        <v>#N/A</v>
      </c>
    </row>
    <row r="2130" ht="15.75" customHeight="1">
      <c r="C2130" s="47">
        <v>240443.0</v>
      </c>
      <c r="D2130" s="47" t="str">
        <f>VLOOKUP(C2130,'Equalização'!E:J,6,0)</f>
        <v>#N/A</v>
      </c>
    </row>
    <row r="2131" ht="15.75" customHeight="1">
      <c r="C2131" s="47">
        <v>240360.0</v>
      </c>
      <c r="D2131" s="47" t="str">
        <f>VLOOKUP(C2131,'Equalização'!E:J,6,0)</f>
        <v>#N/A</v>
      </c>
    </row>
    <row r="2132" ht="15.75" customHeight="1">
      <c r="C2132" s="47">
        <v>225750.0</v>
      </c>
      <c r="D2132" s="47" t="str">
        <f>VLOOKUP(C2132,'Equalização'!E:J,6,0)</f>
        <v>#N/A</v>
      </c>
    </row>
    <row r="2133" ht="15.75" customHeight="1">
      <c r="C2133" s="47">
        <v>129865.0</v>
      </c>
      <c r="D2133" s="47" t="str">
        <f>VLOOKUP(C2133,'Equalização'!E:J,6,0)</f>
        <v>#N/A</v>
      </c>
    </row>
    <row r="2134" ht="15.75" customHeight="1">
      <c r="C2134" s="47">
        <v>110531.0</v>
      </c>
      <c r="D2134" s="47" t="str">
        <f>VLOOKUP(C2134,'Equalização'!E:J,6,0)</f>
        <v>#N/A</v>
      </c>
    </row>
    <row r="2135" ht="15.75" customHeight="1">
      <c r="C2135" s="47">
        <v>219890.0</v>
      </c>
      <c r="D2135" s="47" t="str">
        <f>VLOOKUP(C2135,'Equalização'!E:J,6,0)</f>
        <v>#N/A</v>
      </c>
    </row>
    <row r="2136" ht="15.75" customHeight="1">
      <c r="C2136" s="47">
        <v>162943.0</v>
      </c>
      <c r="D2136" s="47" t="str">
        <f>VLOOKUP(C2136,'Equalização'!E:J,6,0)</f>
        <v>#N/A</v>
      </c>
    </row>
    <row r="2137" ht="15.75" customHeight="1">
      <c r="C2137" s="47">
        <v>240499.0</v>
      </c>
      <c r="D2137" s="47" t="str">
        <f>VLOOKUP(C2137,'Equalização'!E:J,6,0)</f>
        <v>#N/A</v>
      </c>
    </row>
    <row r="2138" ht="15.75" customHeight="1">
      <c r="C2138" s="47">
        <v>228092.0</v>
      </c>
      <c r="D2138" s="47" t="str">
        <f>VLOOKUP(C2138,'Equalização'!E:J,6,0)</f>
        <v>#N/A</v>
      </c>
    </row>
    <row r="2139" ht="15.75" customHeight="1">
      <c r="C2139" s="47">
        <v>236668.0</v>
      </c>
      <c r="D2139" s="47" t="str">
        <f>VLOOKUP(C2139,'Equalização'!E:J,6,0)</f>
        <v>#N/A</v>
      </c>
    </row>
    <row r="2140" ht="15.75" customHeight="1">
      <c r="C2140" s="47">
        <v>240419.0</v>
      </c>
      <c r="D2140" s="47" t="str">
        <f>VLOOKUP(C2140,'Equalização'!E:J,6,0)</f>
        <v>#N/A</v>
      </c>
    </row>
    <row r="2141" ht="15.75" customHeight="1">
      <c r="C2141" s="47">
        <v>240367.0</v>
      </c>
      <c r="D2141" s="47" t="str">
        <f>VLOOKUP(C2141,'Equalização'!E:J,6,0)</f>
        <v>#N/A</v>
      </c>
    </row>
    <row r="2142" ht="15.75" customHeight="1">
      <c r="C2142" s="47">
        <v>113972.0</v>
      </c>
      <c r="D2142" s="47" t="str">
        <f>VLOOKUP(C2142,'Equalização'!E:J,6,0)</f>
        <v>#N/A</v>
      </c>
    </row>
    <row r="2143" ht="15.75" customHeight="1">
      <c r="C2143" s="47">
        <v>85936.0</v>
      </c>
      <c r="D2143" s="47" t="str">
        <f>VLOOKUP(C2143,'Equalização'!E:J,6,0)</f>
        <v>#N/A</v>
      </c>
    </row>
    <row r="2144" ht="15.75" customHeight="1">
      <c r="C2144" s="47">
        <v>85987.0</v>
      </c>
      <c r="D2144" s="47" t="str">
        <f>VLOOKUP(C2144,'Equalização'!E:J,6,0)</f>
        <v>#N/A</v>
      </c>
    </row>
    <row r="2145" ht="15.75" customHeight="1">
      <c r="C2145" s="47">
        <v>240355.0</v>
      </c>
      <c r="D2145" s="47" t="str">
        <f>VLOOKUP(C2145,'Equalização'!E:J,6,0)</f>
        <v>#N/A</v>
      </c>
    </row>
    <row r="2146" ht="15.75" customHeight="1">
      <c r="C2146" s="47">
        <v>240774.0</v>
      </c>
      <c r="D2146" s="47" t="str">
        <f>VLOOKUP(C2146,'Equalização'!E:J,6,0)</f>
        <v>#N/A</v>
      </c>
    </row>
    <row r="2147" ht="15.75" customHeight="1">
      <c r="C2147" s="47">
        <v>221340.0</v>
      </c>
      <c r="D2147" s="47" t="str">
        <f>VLOOKUP(C2147,'Equalização'!E:J,6,0)</f>
        <v>#N/A</v>
      </c>
    </row>
    <row r="2148" ht="15.75" customHeight="1">
      <c r="C2148" s="47">
        <v>227938.0</v>
      </c>
      <c r="D2148" s="47" t="str">
        <f>VLOOKUP(C2148,'Equalização'!E:J,6,0)</f>
        <v>#N/A</v>
      </c>
    </row>
    <row r="2149" ht="15.75" customHeight="1">
      <c r="C2149" s="47">
        <v>229550.0</v>
      </c>
      <c r="D2149" s="47" t="str">
        <f>VLOOKUP(C2149,'Equalização'!E:J,6,0)</f>
        <v>#N/A</v>
      </c>
    </row>
    <row r="2150" ht="15.75" customHeight="1">
      <c r="C2150" s="47">
        <v>229553.0</v>
      </c>
      <c r="D2150" s="47" t="str">
        <f>VLOOKUP(C2150,'Equalização'!E:J,6,0)</f>
        <v>#N/A</v>
      </c>
    </row>
    <row r="2151" ht="15.75" customHeight="1">
      <c r="C2151" s="47">
        <v>211186.0</v>
      </c>
      <c r="D2151" s="47" t="str">
        <f>VLOOKUP(C2151,'Equalização'!E:J,6,0)</f>
        <v>#N/A</v>
      </c>
    </row>
    <row r="2152" ht="15.75" customHeight="1">
      <c r="C2152" s="47">
        <v>240594.0</v>
      </c>
      <c r="D2152" s="47" t="str">
        <f>VLOOKUP(C2152,'Equalização'!E:J,6,0)</f>
        <v>#N/A</v>
      </c>
    </row>
    <row r="2153" ht="15.75" customHeight="1">
      <c r="C2153" s="47">
        <v>240437.0</v>
      </c>
      <c r="D2153" s="47" t="str">
        <f>VLOOKUP(C2153,'Equalização'!E:J,6,0)</f>
        <v>#N/A</v>
      </c>
    </row>
    <row r="2154" ht="15.75" customHeight="1">
      <c r="C2154" s="47">
        <v>240356.0</v>
      </c>
      <c r="D2154" s="47" t="str">
        <f>VLOOKUP(C2154,'Equalização'!E:J,6,0)</f>
        <v>#N/A</v>
      </c>
    </row>
    <row r="2155" ht="15.75" customHeight="1">
      <c r="C2155" s="47">
        <v>240752.0</v>
      </c>
      <c r="D2155" s="47" t="str">
        <f>VLOOKUP(C2155,'Equalização'!E:J,6,0)</f>
        <v>#N/A</v>
      </c>
    </row>
    <row r="2156" ht="15.75" customHeight="1">
      <c r="C2156" s="47">
        <v>211535.0</v>
      </c>
      <c r="D2156" s="47" t="str">
        <f>VLOOKUP(C2156,'Equalização'!E:J,6,0)</f>
        <v>#N/A</v>
      </c>
    </row>
    <row r="2157" ht="15.75" customHeight="1">
      <c r="C2157" s="47">
        <v>226202.0</v>
      </c>
      <c r="D2157" s="47" t="str">
        <f>VLOOKUP(C2157,'Equalização'!E:J,6,0)</f>
        <v>#N/A</v>
      </c>
    </row>
    <row r="2158" ht="15.75" customHeight="1">
      <c r="C2158" s="47">
        <v>169289.0</v>
      </c>
      <c r="D2158" s="47" t="str">
        <f>VLOOKUP(C2158,'Equalização'!E:J,6,0)</f>
        <v>#N/A</v>
      </c>
    </row>
    <row r="2159" ht="15.75" customHeight="1">
      <c r="C2159" s="47">
        <v>221382.0</v>
      </c>
      <c r="D2159" s="47" t="str">
        <f>VLOOKUP(C2159,'Equalização'!E:J,6,0)</f>
        <v>#N/A</v>
      </c>
    </row>
    <row r="2160" ht="15.75" customHeight="1">
      <c r="C2160" s="47">
        <v>229544.0</v>
      </c>
      <c r="D2160" s="47" t="str">
        <f>VLOOKUP(C2160,'Equalização'!E:J,6,0)</f>
        <v>#N/A</v>
      </c>
    </row>
    <row r="2161" ht="15.75" customHeight="1">
      <c r="C2161" s="47">
        <v>229552.0</v>
      </c>
      <c r="D2161" s="47" t="str">
        <f>VLOOKUP(C2161,'Equalização'!E:J,6,0)</f>
        <v>#N/A</v>
      </c>
    </row>
    <row r="2162" ht="15.75" customHeight="1">
      <c r="C2162" s="47">
        <v>118622.0</v>
      </c>
      <c r="D2162" s="47" t="str">
        <f>VLOOKUP(C2162,'Equalização'!E:J,6,0)</f>
        <v>#N/A</v>
      </c>
    </row>
    <row r="2163" ht="15.75" customHeight="1">
      <c r="C2163" s="47">
        <v>129465.0</v>
      </c>
      <c r="D2163" s="47" t="str">
        <f>VLOOKUP(C2163,'Equalização'!E:J,6,0)</f>
        <v>#N/A</v>
      </c>
    </row>
    <row r="2164" ht="15.75" customHeight="1">
      <c r="C2164" s="47">
        <v>166868.0</v>
      </c>
      <c r="D2164" s="47" t="str">
        <f>VLOOKUP(C2164,'Equalização'!E:J,6,0)</f>
        <v>#N/A</v>
      </c>
    </row>
    <row r="2165" ht="15.75" customHeight="1">
      <c r="C2165" s="47">
        <v>171608.0</v>
      </c>
      <c r="D2165" s="47" t="str">
        <f>VLOOKUP(C2165,'Equalização'!E:J,6,0)</f>
        <v>#N/A</v>
      </c>
    </row>
    <row r="2166" ht="15.75" customHeight="1">
      <c r="C2166" s="47">
        <v>238593.0</v>
      </c>
      <c r="D2166" s="47" t="str">
        <f>VLOOKUP(C2166,'Equalização'!E:J,6,0)</f>
        <v>#N/A</v>
      </c>
    </row>
    <row r="2167" ht="15.75" customHeight="1">
      <c r="C2167" s="47">
        <v>238599.0</v>
      </c>
      <c r="D2167" s="47" t="str">
        <f>VLOOKUP(C2167,'Equalização'!E:J,6,0)</f>
        <v>#N/A</v>
      </c>
    </row>
    <row r="2168" ht="15.75" customHeight="1">
      <c r="C2168" s="47">
        <v>238608.0</v>
      </c>
      <c r="D2168" s="47" t="str">
        <f>VLOOKUP(C2168,'Equalização'!E:J,6,0)</f>
        <v>#N/A</v>
      </c>
    </row>
    <row r="2169" ht="15.75" customHeight="1">
      <c r="C2169" s="47">
        <v>238612.0</v>
      </c>
      <c r="D2169" s="47" t="str">
        <f>VLOOKUP(C2169,'Equalização'!E:J,6,0)</f>
        <v>#N/A</v>
      </c>
    </row>
    <row r="2170" ht="15.75" customHeight="1">
      <c r="C2170" s="47">
        <v>238613.0</v>
      </c>
      <c r="D2170" s="47" t="str">
        <f>VLOOKUP(C2170,'Equalização'!E:J,6,0)</f>
        <v>#N/A</v>
      </c>
    </row>
    <row r="2171" ht="15.75" customHeight="1">
      <c r="C2171" s="47">
        <v>240337.0</v>
      </c>
      <c r="D2171" s="47" t="str">
        <f>VLOOKUP(C2171,'Equalização'!E:J,6,0)</f>
        <v>#N/A</v>
      </c>
    </row>
    <row r="2172" ht="15.75" customHeight="1">
      <c r="C2172" s="47">
        <v>240362.0</v>
      </c>
      <c r="D2172" s="47" t="str">
        <f>VLOOKUP(C2172,'Equalização'!E:J,6,0)</f>
        <v>#N/A</v>
      </c>
    </row>
    <row r="2173" ht="15.75" customHeight="1">
      <c r="C2173" s="47">
        <v>225797.0</v>
      </c>
      <c r="D2173" s="47" t="str">
        <f>VLOOKUP(C2173,'Equalização'!E:J,6,0)</f>
        <v>#N/A</v>
      </c>
    </row>
    <row r="2174" ht="15.75" customHeight="1">
      <c r="C2174" s="47">
        <v>240365.0</v>
      </c>
      <c r="D2174" s="47" t="str">
        <f>VLOOKUP(C2174,'Equalização'!E:J,6,0)</f>
        <v>#N/A</v>
      </c>
    </row>
    <row r="2175" ht="15.75" customHeight="1">
      <c r="C2175" s="47">
        <v>226328.0</v>
      </c>
      <c r="D2175" s="47" t="str">
        <f>VLOOKUP(C2175,'Equalização'!E:J,6,0)</f>
        <v>#N/A</v>
      </c>
    </row>
    <row r="2176" ht="15.75" customHeight="1">
      <c r="C2176" s="47">
        <v>226329.0</v>
      </c>
      <c r="D2176" s="47" t="str">
        <f>VLOOKUP(C2176,'Equalização'!E:J,6,0)</f>
        <v>#N/A</v>
      </c>
    </row>
    <row r="2177" ht="15.75" customHeight="1">
      <c r="C2177" s="47">
        <v>226324.0</v>
      </c>
      <c r="D2177" s="47" t="str">
        <f>VLOOKUP(C2177,'Equalização'!E:J,6,0)</f>
        <v>#N/A</v>
      </c>
    </row>
    <row r="2178" ht="15.75" customHeight="1">
      <c r="C2178" s="47">
        <v>240345.0</v>
      </c>
      <c r="D2178" s="47" t="str">
        <f>VLOOKUP(C2178,'Equalização'!E:J,6,0)</f>
        <v>#N/A</v>
      </c>
    </row>
    <row r="2179" ht="15.75" customHeight="1">
      <c r="C2179" s="47">
        <v>204414.0</v>
      </c>
      <c r="D2179" s="47" t="str">
        <f>VLOOKUP(C2179,'Equalização'!E:J,6,0)</f>
        <v>#N/A</v>
      </c>
    </row>
    <row r="2180" ht="15.75" customHeight="1">
      <c r="C2180" s="47">
        <v>223350.0</v>
      </c>
      <c r="D2180" s="47" t="str">
        <f>VLOOKUP(C2180,'Equalização'!E:J,6,0)</f>
        <v>#N/A</v>
      </c>
    </row>
    <row r="2181" ht="15.75" customHeight="1">
      <c r="C2181" s="47">
        <v>153084.0</v>
      </c>
      <c r="D2181" s="47" t="str">
        <f>VLOOKUP(C2181,'Equalização'!E:J,6,0)</f>
        <v>#N/A</v>
      </c>
    </row>
    <row r="2182" ht="15.75" customHeight="1">
      <c r="C2182" s="47">
        <v>118962.0</v>
      </c>
      <c r="D2182" s="47" t="str">
        <f>VLOOKUP(C2182,'Equalização'!E:J,6,0)</f>
        <v>#N/A</v>
      </c>
    </row>
    <row r="2183" ht="15.75" customHeight="1">
      <c r="C2183" s="47">
        <v>240223.0</v>
      </c>
      <c r="D2183" s="47" t="str">
        <f>VLOOKUP(C2183,'Equalização'!E:J,6,0)</f>
        <v>#N/A</v>
      </c>
    </row>
    <row r="2184" ht="15.75" customHeight="1">
      <c r="C2184" s="47">
        <v>240744.0</v>
      </c>
      <c r="D2184" s="47" t="str">
        <f>VLOOKUP(C2184,'Equalização'!E:J,6,0)</f>
        <v>#N/A</v>
      </c>
    </row>
    <row r="2185" ht="15.75" customHeight="1">
      <c r="C2185" s="47">
        <v>223092.0</v>
      </c>
      <c r="D2185" s="47" t="str">
        <f>VLOOKUP(C2185,'Equalização'!E:J,6,0)</f>
        <v>#N/A</v>
      </c>
    </row>
    <row r="2186" ht="15.75" customHeight="1">
      <c r="C2186" s="47">
        <v>210979.0</v>
      </c>
      <c r="D2186" s="47" t="str">
        <f>VLOOKUP(C2186,'Equalização'!E:J,6,0)</f>
        <v>#N/A</v>
      </c>
    </row>
    <row r="2187" ht="15.75" customHeight="1">
      <c r="C2187" s="47">
        <v>33979.0</v>
      </c>
      <c r="D2187" s="47" t="str">
        <f>VLOOKUP(C2187,'Equalização'!E:J,6,0)</f>
        <v>#N/A</v>
      </c>
    </row>
    <row r="2188" ht="15.75" customHeight="1">
      <c r="C2188" s="47">
        <v>130684.0</v>
      </c>
      <c r="D2188" s="47" t="str">
        <f>VLOOKUP(C2188,'Equalização'!E:J,6,0)</f>
        <v>#N/A</v>
      </c>
    </row>
    <row r="2189" ht="15.75" customHeight="1">
      <c r="C2189" s="47">
        <v>213005.0</v>
      </c>
      <c r="D2189" s="47" t="str">
        <f>VLOOKUP(C2189,'Equalização'!E:J,6,0)</f>
        <v>#N/A</v>
      </c>
    </row>
    <row r="2190" ht="15.75" customHeight="1">
      <c r="C2190" s="47">
        <v>206078.0</v>
      </c>
      <c r="D2190" s="47" t="str">
        <f>VLOOKUP(C2190,'Equalização'!E:J,6,0)</f>
        <v>#N/A</v>
      </c>
    </row>
    <row r="2191" ht="15.75" customHeight="1">
      <c r="C2191" s="47">
        <v>238523.0</v>
      </c>
      <c r="D2191" s="47" t="str">
        <f>VLOOKUP(C2191,'Equalização'!E:J,6,0)</f>
        <v>#N/A</v>
      </c>
    </row>
    <row r="2192" ht="15.75" customHeight="1">
      <c r="C2192" s="47">
        <v>237774.0</v>
      </c>
      <c r="D2192" s="47" t="str">
        <f>VLOOKUP(C2192,'Equalização'!E:J,6,0)</f>
        <v>#N/A</v>
      </c>
    </row>
    <row r="2193" ht="15.75" customHeight="1">
      <c r="C2193" s="47">
        <v>118933.0</v>
      </c>
      <c r="D2193" s="47" t="str">
        <f>VLOOKUP(C2193,'Equalização'!E:J,6,0)</f>
        <v>#N/A</v>
      </c>
    </row>
    <row r="2194" ht="15.75" customHeight="1">
      <c r="C2194" s="47">
        <v>57347.0</v>
      </c>
      <c r="D2194" s="47" t="str">
        <f>VLOOKUP(C2194,'Equalização'!E:J,6,0)</f>
        <v>#N/A</v>
      </c>
    </row>
    <row r="2195" ht="15.75" customHeight="1">
      <c r="C2195" s="47">
        <v>240217.0</v>
      </c>
      <c r="D2195" s="47" t="str">
        <f>VLOOKUP(C2195,'Equalização'!E:J,6,0)</f>
        <v>#N/A</v>
      </c>
    </row>
    <row r="2196" ht="15.75" customHeight="1">
      <c r="C2196" s="47">
        <v>57240.0</v>
      </c>
      <c r="D2196" s="47" t="str">
        <f>VLOOKUP(C2196,'Equalização'!E:J,6,0)</f>
        <v>#N/A</v>
      </c>
    </row>
    <row r="2197" ht="15.75" customHeight="1">
      <c r="C2197" s="47">
        <v>240350.0</v>
      </c>
      <c r="D2197" s="47" t="str">
        <f>VLOOKUP(C2197,'Equalização'!E:J,6,0)</f>
        <v>#N/A</v>
      </c>
    </row>
    <row r="2198" ht="15.75" customHeight="1">
      <c r="C2198" s="47">
        <v>238595.0</v>
      </c>
      <c r="D2198" s="47" t="str">
        <f>VLOOKUP(C2198,'Equalização'!E:J,6,0)</f>
        <v>#N/A</v>
      </c>
    </row>
    <row r="2199" ht="15.75" customHeight="1">
      <c r="C2199" s="47">
        <v>238596.0</v>
      </c>
      <c r="D2199" s="47" t="str">
        <f>VLOOKUP(C2199,'Equalização'!E:J,6,0)</f>
        <v>#N/A</v>
      </c>
    </row>
    <row r="2200" ht="15.75" customHeight="1">
      <c r="C2200" s="47">
        <v>238598.0</v>
      </c>
      <c r="D2200" s="47" t="str">
        <f>VLOOKUP(C2200,'Equalização'!E:J,6,0)</f>
        <v>#N/A</v>
      </c>
    </row>
    <row r="2201" ht="15.75" customHeight="1">
      <c r="C2201" s="47">
        <v>238600.0</v>
      </c>
      <c r="D2201" s="47" t="str">
        <f>VLOOKUP(C2201,'Equalização'!E:J,6,0)</f>
        <v>#N/A</v>
      </c>
    </row>
    <row r="2202" ht="15.75" customHeight="1">
      <c r="C2202" s="47">
        <v>111058.0</v>
      </c>
      <c r="D2202" s="47" t="str">
        <f>VLOOKUP(C2202,'Equalização'!E:J,6,0)</f>
        <v>#N/A</v>
      </c>
    </row>
    <row r="2203" ht="15.75" customHeight="1">
      <c r="C2203" s="47">
        <v>211100.0</v>
      </c>
      <c r="D2203" s="47" t="str">
        <f>VLOOKUP(C2203,'Equalização'!E:J,6,0)</f>
        <v>#N/A</v>
      </c>
    </row>
    <row r="2204" ht="15.75" customHeight="1">
      <c r="C2204" s="47">
        <v>149635.0</v>
      </c>
      <c r="D2204" s="47" t="str">
        <f>VLOOKUP(C2204,'Equalização'!E:J,6,0)</f>
        <v>#N/A</v>
      </c>
    </row>
    <row r="2205" ht="15.75" customHeight="1">
      <c r="C2205" s="47">
        <v>170628.0</v>
      </c>
      <c r="D2205" s="47" t="str">
        <f>VLOOKUP(C2205,'Equalização'!E:J,6,0)</f>
        <v>#N/A</v>
      </c>
    </row>
    <row r="2206" ht="15.75" customHeight="1">
      <c r="C2206" s="47">
        <v>226353.0</v>
      </c>
      <c r="D2206" s="47" t="str">
        <f>VLOOKUP(C2206,'Equalização'!E:J,6,0)</f>
        <v>#N/A</v>
      </c>
    </row>
    <row r="2207" ht="15.75" customHeight="1">
      <c r="C2207" s="47">
        <v>240410.0</v>
      </c>
      <c r="D2207" s="47" t="str">
        <f>VLOOKUP(C2207,'Equalização'!E:J,6,0)</f>
        <v>#N/A</v>
      </c>
    </row>
    <row r="2208" ht="15.75" customHeight="1">
      <c r="C2208" s="47">
        <v>240503.0</v>
      </c>
      <c r="D2208" s="47" t="str">
        <f>VLOOKUP(C2208,'Equalização'!E:J,6,0)</f>
        <v>#N/A</v>
      </c>
    </row>
    <row r="2209" ht="15.75" customHeight="1">
      <c r="C2209" s="47">
        <v>240406.0</v>
      </c>
      <c r="D2209" s="47" t="str">
        <f>VLOOKUP(C2209,'Equalização'!E:J,6,0)</f>
        <v>#N/A</v>
      </c>
    </row>
    <row r="2210" ht="15.75" customHeight="1">
      <c r="C2210" s="47">
        <v>213034.0</v>
      </c>
      <c r="D2210" s="47" t="str">
        <f>VLOOKUP(C2210,'Equalização'!E:J,6,0)</f>
        <v>#N/A</v>
      </c>
    </row>
    <row r="2211" ht="15.75" customHeight="1">
      <c r="C2211" s="47">
        <v>113913.0</v>
      </c>
      <c r="D2211" s="47" t="str">
        <f>VLOOKUP(C2211,'Equalização'!E:J,6,0)</f>
        <v>#N/A</v>
      </c>
    </row>
    <row r="2212" ht="15.75" customHeight="1">
      <c r="C2212" s="47">
        <v>225598.0</v>
      </c>
      <c r="D2212" s="47" t="str">
        <f>VLOOKUP(C2212,'Equalização'!E:J,6,0)</f>
        <v>#N/A</v>
      </c>
    </row>
    <row r="2213" ht="15.75" customHeight="1">
      <c r="C2213" s="47">
        <v>237035.0</v>
      </c>
      <c r="D2213" s="47" t="str">
        <f>VLOOKUP(C2213,'Equalização'!E:J,6,0)</f>
        <v>#N/A</v>
      </c>
    </row>
    <row r="2214" ht="15.75" customHeight="1">
      <c r="C2214" s="47">
        <v>85928.0</v>
      </c>
      <c r="D2214" s="47" t="str">
        <f>VLOOKUP(C2214,'Equalização'!E:J,6,0)</f>
        <v>#N/A</v>
      </c>
    </row>
    <row r="2215" ht="15.75" customHeight="1">
      <c r="C2215" s="47">
        <v>85944.0</v>
      </c>
      <c r="D2215" s="47" t="str">
        <f>VLOOKUP(C2215,'Equalização'!E:J,6,0)</f>
        <v>#N/A</v>
      </c>
    </row>
    <row r="2216" ht="15.75" customHeight="1">
      <c r="C2216" s="47">
        <v>110574.0</v>
      </c>
      <c r="D2216" s="47" t="str">
        <f>VLOOKUP(C2216,'Equalização'!E:J,6,0)</f>
        <v>#N/A</v>
      </c>
    </row>
    <row r="2217" ht="15.75" customHeight="1">
      <c r="C2217" s="47">
        <v>111074.0</v>
      </c>
      <c r="D2217" s="47" t="str">
        <f>VLOOKUP(C2217,'Equalização'!E:J,6,0)</f>
        <v>#N/A</v>
      </c>
    </row>
    <row r="2218" ht="15.75" customHeight="1">
      <c r="C2218" s="47">
        <v>124022.0</v>
      </c>
      <c r="D2218" s="47" t="str">
        <f>VLOOKUP(C2218,'Equalização'!E:J,6,0)</f>
        <v>#N/A</v>
      </c>
    </row>
    <row r="2219" ht="15.75" customHeight="1">
      <c r="C2219" s="47">
        <v>126485.0</v>
      </c>
      <c r="D2219" s="47" t="str">
        <f>VLOOKUP(C2219,'Equalização'!E:J,6,0)</f>
        <v>#N/A</v>
      </c>
    </row>
    <row r="2220" ht="15.75" customHeight="1">
      <c r="C2220" s="47">
        <v>126491.0</v>
      </c>
      <c r="D2220" s="47" t="str">
        <f>VLOOKUP(C2220,'Equalização'!E:J,6,0)</f>
        <v>#N/A</v>
      </c>
    </row>
    <row r="2221" ht="15.75" customHeight="1">
      <c r="C2221" s="47">
        <v>135645.0</v>
      </c>
      <c r="D2221" s="47" t="str">
        <f>VLOOKUP(C2221,'Equalização'!E:J,6,0)</f>
        <v>#N/A</v>
      </c>
    </row>
    <row r="2222" ht="15.75" customHeight="1">
      <c r="C2222" s="47">
        <v>240603.0</v>
      </c>
      <c r="D2222" s="47" t="str">
        <f>VLOOKUP(C2222,'Equalização'!E:J,6,0)</f>
        <v>#N/A</v>
      </c>
    </row>
    <row r="2223" ht="15.75" customHeight="1">
      <c r="C2223" s="47">
        <v>240215.0</v>
      </c>
      <c r="D2223" s="47" t="str">
        <f>VLOOKUP(C2223,'Equalização'!E:J,6,0)</f>
        <v>#N/A</v>
      </c>
    </row>
    <row r="2224" ht="15.75" customHeight="1">
      <c r="C2224" s="47">
        <v>240471.0</v>
      </c>
      <c r="D2224" s="47" t="str">
        <f>VLOOKUP(C2224,'Equalização'!E:J,6,0)</f>
        <v>#N/A</v>
      </c>
    </row>
    <row r="2225" ht="15.75" customHeight="1">
      <c r="C2225" s="47">
        <v>139126.0</v>
      </c>
      <c r="D2225" s="47" t="str">
        <f>VLOOKUP(C2225,'Equalização'!E:J,6,0)</f>
        <v>#N/A</v>
      </c>
    </row>
    <row r="2226" ht="15.75" customHeight="1">
      <c r="C2226" s="47">
        <v>221441.0</v>
      </c>
      <c r="D2226" s="47" t="str">
        <f>VLOOKUP(C2226,'Equalização'!E:J,6,0)</f>
        <v>#N/A</v>
      </c>
    </row>
    <row r="2227" ht="15.75" customHeight="1">
      <c r="C2227" s="47">
        <v>99791.0</v>
      </c>
      <c r="D2227" s="47" t="str">
        <f>VLOOKUP(C2227,'Equalização'!E:J,6,0)</f>
        <v>#N/A</v>
      </c>
    </row>
    <row r="2228" ht="15.75" customHeight="1">
      <c r="C2228" s="47">
        <v>99813.0</v>
      </c>
      <c r="D2228" s="47" t="str">
        <f>VLOOKUP(C2228,'Equalização'!E:J,6,0)</f>
        <v>#N/A</v>
      </c>
    </row>
    <row r="2229" ht="15.75" customHeight="1">
      <c r="C2229" s="47">
        <v>206088.0</v>
      </c>
      <c r="D2229" s="47" t="str">
        <f>VLOOKUP(C2229,'Equalização'!E:J,6,0)</f>
        <v>#N/A</v>
      </c>
    </row>
    <row r="2230" ht="15.75" customHeight="1">
      <c r="C2230" s="47">
        <v>58440.0</v>
      </c>
      <c r="D2230" s="47" t="str">
        <f>VLOOKUP(C2230,'Equalização'!E:J,6,0)</f>
        <v>#N/A</v>
      </c>
    </row>
    <row r="2231" ht="15.75" customHeight="1">
      <c r="C2231" s="47">
        <v>240472.0</v>
      </c>
      <c r="D2231" s="47" t="str">
        <f>VLOOKUP(C2231,'Equalização'!E:J,6,0)</f>
        <v>#N/A</v>
      </c>
    </row>
    <row r="2232" ht="15.75" customHeight="1">
      <c r="C2232" s="47">
        <v>240404.0</v>
      </c>
      <c r="D2232" s="47" t="str">
        <f>VLOOKUP(C2232,'Equalização'!E:J,6,0)</f>
        <v>#N/A</v>
      </c>
    </row>
    <row r="2233" ht="15.75" customHeight="1">
      <c r="C2233" s="47">
        <v>231253.0</v>
      </c>
      <c r="D2233" s="47" t="str">
        <f>VLOOKUP(C2233,'Equalização'!E:J,6,0)</f>
        <v>#N/A</v>
      </c>
    </row>
    <row r="2234" ht="15.75" customHeight="1">
      <c r="C2234" s="47">
        <v>212051.0</v>
      </c>
      <c r="D2234" s="47" t="str">
        <f>VLOOKUP(C2234,'Equalização'!E:J,6,0)</f>
        <v>#N/A</v>
      </c>
    </row>
    <row r="2235" ht="15.75" customHeight="1">
      <c r="C2235" s="47">
        <v>85910.0</v>
      </c>
      <c r="D2235" s="47" t="str">
        <f>VLOOKUP(C2235,'Equalização'!E:J,6,0)</f>
        <v>#N/A</v>
      </c>
    </row>
    <row r="2236" ht="15.75" customHeight="1">
      <c r="C2236" s="47">
        <v>110540.0</v>
      </c>
      <c r="D2236" s="47" t="str">
        <f>VLOOKUP(C2236,'Equalização'!E:J,6,0)</f>
        <v>#N/A</v>
      </c>
    </row>
    <row r="2237" ht="15.75" customHeight="1">
      <c r="C2237" s="47">
        <v>204426.0</v>
      </c>
      <c r="D2237" s="47" t="str">
        <f>VLOOKUP(C2237,'Equalização'!E:J,6,0)</f>
        <v>#N/A</v>
      </c>
    </row>
    <row r="2238" ht="15.75" customHeight="1">
      <c r="C2238" s="47">
        <v>220061.0</v>
      </c>
      <c r="D2238" s="47" t="str">
        <f>VLOOKUP(C2238,'Equalização'!E:J,6,0)</f>
        <v>#N/A</v>
      </c>
    </row>
    <row r="2239" ht="15.75" customHeight="1">
      <c r="C2239" s="47">
        <v>220062.0</v>
      </c>
      <c r="D2239" s="47" t="str">
        <f>VLOOKUP(C2239,'Equalização'!E:J,6,0)</f>
        <v>#N/A</v>
      </c>
    </row>
    <row r="2240" ht="15.75" customHeight="1">
      <c r="C2240" s="47">
        <v>220063.0</v>
      </c>
      <c r="D2240" s="47" t="str">
        <f>VLOOKUP(C2240,'Equalização'!E:J,6,0)</f>
        <v>#N/A</v>
      </c>
    </row>
    <row r="2241" ht="15.75" customHeight="1">
      <c r="C2241" s="47">
        <v>222719.0</v>
      </c>
      <c r="D2241" s="47" t="str">
        <f>VLOOKUP(C2241,'Equalização'!E:J,6,0)</f>
        <v>#N/A</v>
      </c>
    </row>
    <row r="2242" ht="15.75" customHeight="1">
      <c r="C2242" s="47">
        <v>240511.0</v>
      </c>
      <c r="D2242" s="47" t="str">
        <f>VLOOKUP(C2242,'Equalização'!E:J,6,0)</f>
        <v>#N/A</v>
      </c>
    </row>
    <row r="2243" ht="15.75" customHeight="1">
      <c r="C2243" s="47">
        <v>214400.0</v>
      </c>
      <c r="D2243" s="47" t="str">
        <f>VLOOKUP(C2243,'Equalização'!E:J,6,0)</f>
        <v>#N/A</v>
      </c>
    </row>
    <row r="2244" ht="15.75" customHeight="1">
      <c r="C2244" s="47">
        <v>225894.0</v>
      </c>
      <c r="D2244" s="47" t="str">
        <f>VLOOKUP(C2244,'Equalização'!E:J,6,0)</f>
        <v>#N/A</v>
      </c>
    </row>
    <row r="2245" ht="15.75" customHeight="1">
      <c r="C2245" s="47">
        <v>210393.0</v>
      </c>
      <c r="D2245" s="47" t="str">
        <f>VLOOKUP(C2245,'Equalização'!E:J,6,0)</f>
        <v>#N/A</v>
      </c>
    </row>
    <row r="2246" ht="15.75" customHeight="1">
      <c r="C2246" s="47">
        <v>213187.0</v>
      </c>
      <c r="D2246" s="47" t="str">
        <f>VLOOKUP(C2246,'Equalização'!E:J,6,0)</f>
        <v>#N/A</v>
      </c>
    </row>
    <row r="2247" ht="15.75" customHeight="1">
      <c r="C2247" s="47">
        <v>221005.0</v>
      </c>
      <c r="D2247" s="47" t="str">
        <f>VLOOKUP(C2247,'Equalização'!E:J,6,0)</f>
        <v>#N/A</v>
      </c>
    </row>
    <row r="2248" ht="15.75" customHeight="1">
      <c r="C2248" s="47">
        <v>224098.0</v>
      </c>
      <c r="D2248" s="47" t="str">
        <f>VLOOKUP(C2248,'Equalização'!E:J,6,0)</f>
        <v>#N/A</v>
      </c>
    </row>
    <row r="2249" ht="15.75" customHeight="1">
      <c r="C2249" s="47">
        <v>108480.0</v>
      </c>
      <c r="D2249" s="47" t="str">
        <f>VLOOKUP(C2249,'Equalização'!E:J,6,0)</f>
        <v>#N/A</v>
      </c>
    </row>
    <row r="2250" ht="15.75" customHeight="1">
      <c r="C2250" s="47">
        <v>111040.0</v>
      </c>
      <c r="D2250" s="47" t="str">
        <f>VLOOKUP(C2250,'Equalização'!E:J,6,0)</f>
        <v>#N/A</v>
      </c>
    </row>
    <row r="2251" ht="15.75" customHeight="1">
      <c r="C2251" s="47">
        <v>225602.0</v>
      </c>
      <c r="D2251" s="47" t="str">
        <f>VLOOKUP(C2251,'Equalização'!E:J,6,0)</f>
        <v>#N/A</v>
      </c>
    </row>
    <row r="2252" ht="15.75" customHeight="1">
      <c r="C2252" s="47">
        <v>238592.0</v>
      </c>
      <c r="D2252" s="47" t="str">
        <f>VLOOKUP(C2252,'Equalização'!E:J,6,0)</f>
        <v>#N/A</v>
      </c>
    </row>
    <row r="2253" ht="15.75" customHeight="1">
      <c r="C2253" s="47">
        <v>238603.0</v>
      </c>
      <c r="D2253" s="47" t="str">
        <f>VLOOKUP(C2253,'Equalização'!E:J,6,0)</f>
        <v>#N/A</v>
      </c>
    </row>
    <row r="2254" ht="15.75" customHeight="1">
      <c r="C2254" s="47">
        <v>55603.0</v>
      </c>
      <c r="D2254" s="47" t="str">
        <f>VLOOKUP(C2254,'Equalização'!E:J,6,0)</f>
        <v>#N/A</v>
      </c>
    </row>
    <row r="2255" ht="15.75" customHeight="1">
      <c r="C2255" s="47">
        <v>118236.0</v>
      </c>
      <c r="D2255" s="47" t="str">
        <f>VLOOKUP(C2255,'Equalização'!E:J,6,0)</f>
        <v>#N/A</v>
      </c>
    </row>
    <row r="2256" ht="15.75" customHeight="1">
      <c r="C2256" s="47">
        <v>59625.0</v>
      </c>
      <c r="D2256" s="47" t="str">
        <f>VLOOKUP(C2256,'Equalização'!E:J,6,0)</f>
        <v>#N/A</v>
      </c>
    </row>
    <row r="2257" ht="15.75" customHeight="1">
      <c r="C2257" s="47">
        <v>207166.0</v>
      </c>
      <c r="D2257" s="47" t="str">
        <f>VLOOKUP(C2257,'Equalização'!E:J,6,0)</f>
        <v>#N/A</v>
      </c>
    </row>
    <row r="2258" ht="15.75" customHeight="1">
      <c r="C2258" s="47">
        <v>220066.0</v>
      </c>
      <c r="D2258" s="47" t="str">
        <f>VLOOKUP(C2258,'Equalização'!E:J,6,0)</f>
        <v>#N/A</v>
      </c>
    </row>
    <row r="2259" ht="15.75" customHeight="1">
      <c r="C2259" s="47">
        <v>221551.0</v>
      </c>
      <c r="D2259" s="47" t="str">
        <f>VLOOKUP(C2259,'Equalização'!E:J,6,0)</f>
        <v>#N/A</v>
      </c>
    </row>
    <row r="2260" ht="15.75" customHeight="1">
      <c r="C2260" s="47">
        <v>101583.0</v>
      </c>
      <c r="D2260" s="47" t="str">
        <f>VLOOKUP(C2260,'Equalização'!E:J,6,0)</f>
        <v>#N/A</v>
      </c>
    </row>
    <row r="2261" ht="15.75" customHeight="1">
      <c r="C2261" s="47">
        <v>109703.0</v>
      </c>
      <c r="D2261" s="47" t="str">
        <f>VLOOKUP(C2261,'Equalização'!E:J,6,0)</f>
        <v>#N/A</v>
      </c>
    </row>
    <row r="2262" ht="15.75" customHeight="1">
      <c r="C2262" s="47">
        <v>210647.0</v>
      </c>
      <c r="D2262" s="47" t="str">
        <f>VLOOKUP(C2262,'Equalização'!E:J,6,0)</f>
        <v>#N/A</v>
      </c>
    </row>
    <row r="2263" ht="15.75" customHeight="1">
      <c r="C2263" s="47">
        <v>215248.0</v>
      </c>
      <c r="D2263" s="47" t="str">
        <f>VLOOKUP(C2263,'Equalização'!E:J,6,0)</f>
        <v>#N/A</v>
      </c>
    </row>
    <row r="2264" ht="15.75" customHeight="1">
      <c r="C2264" s="47">
        <v>210672.0</v>
      </c>
      <c r="D2264" s="47" t="str">
        <f>VLOOKUP(C2264,'Equalização'!E:J,6,0)</f>
        <v>#N/A</v>
      </c>
    </row>
    <row r="2265" ht="15.75" customHeight="1">
      <c r="C2265" s="47">
        <v>211653.0</v>
      </c>
      <c r="D2265" s="47" t="str">
        <f>VLOOKUP(C2265,'Equalização'!E:J,6,0)</f>
        <v>#N/A</v>
      </c>
    </row>
    <row r="2266" ht="15.75" customHeight="1">
      <c r="C2266" s="47">
        <v>210731.0</v>
      </c>
      <c r="D2266" s="47" t="str">
        <f>VLOOKUP(C2266,'Equalização'!E:J,6,0)</f>
        <v>#N/A</v>
      </c>
    </row>
    <row r="2267" ht="15.75" customHeight="1">
      <c r="C2267" s="47">
        <v>122789.0</v>
      </c>
      <c r="D2267" s="47" t="str">
        <f>VLOOKUP(C2267,'Equalização'!E:J,6,0)</f>
        <v>#N/A</v>
      </c>
    </row>
    <row r="2268" ht="15.75" customHeight="1">
      <c r="C2268" s="47">
        <v>53821.0</v>
      </c>
      <c r="D2268" s="47" t="str">
        <f>VLOOKUP(C2268,'Equalização'!E:J,6,0)</f>
        <v>#N/A</v>
      </c>
    </row>
    <row r="2269" ht="15.75" customHeight="1">
      <c r="C2269" s="47">
        <v>53830.0</v>
      </c>
      <c r="D2269" s="47" t="str">
        <f>VLOOKUP(C2269,'Equalização'!E:J,6,0)</f>
        <v>#N/A</v>
      </c>
    </row>
    <row r="2270" ht="15.75" customHeight="1">
      <c r="C2270" s="47">
        <v>101516.0</v>
      </c>
      <c r="D2270" s="47" t="str">
        <f>VLOOKUP(C2270,'Equalização'!E:J,6,0)</f>
        <v>#N/A</v>
      </c>
    </row>
    <row r="2271" ht="15.75" customHeight="1">
      <c r="C2271" s="47">
        <v>109711.0</v>
      </c>
      <c r="D2271" s="47" t="str">
        <f>VLOOKUP(C2271,'Equalização'!E:J,6,0)</f>
        <v>#N/A</v>
      </c>
    </row>
    <row r="2272" ht="15.75" customHeight="1">
      <c r="C2272" s="47">
        <v>211171.0</v>
      </c>
      <c r="D2272" s="47" t="str">
        <f>VLOOKUP(C2272,'Equalização'!E:J,6,0)</f>
        <v>#N/A</v>
      </c>
    </row>
    <row r="2273" ht="15.75" customHeight="1">
      <c r="C2273" s="47">
        <v>240408.0</v>
      </c>
      <c r="D2273" s="47" t="str">
        <f>VLOOKUP(C2273,'Equalização'!E:J,6,0)</f>
        <v>#N/A</v>
      </c>
    </row>
    <row r="2274" ht="15.75" customHeight="1">
      <c r="C2274" s="47">
        <v>168917.0</v>
      </c>
      <c r="D2274" s="47" t="str">
        <f>VLOOKUP(C2274,'Equalização'!E:J,6,0)</f>
        <v>#N/A</v>
      </c>
    </row>
    <row r="2275" ht="15.75" customHeight="1">
      <c r="C2275" s="47">
        <v>240954.0</v>
      </c>
      <c r="D2275" s="47" t="str">
        <f>VLOOKUP(C2275,'Equalização'!E:J,6,0)</f>
        <v>#N/A</v>
      </c>
    </row>
    <row r="2276" ht="15.75" customHeight="1">
      <c r="C2276" s="47">
        <v>237267.0</v>
      </c>
      <c r="D2276" s="47" t="str">
        <f>VLOOKUP(C2276,'Equalização'!E:J,6,0)</f>
        <v>#N/A</v>
      </c>
    </row>
    <row r="2277" ht="15.75" customHeight="1">
      <c r="C2277" s="47">
        <v>144499.0</v>
      </c>
      <c r="D2277" s="47" t="str">
        <f>VLOOKUP(C2277,'Equalização'!E:J,6,0)</f>
        <v>#N/A</v>
      </c>
    </row>
    <row r="2278" ht="15.75" customHeight="1">
      <c r="C2278" s="47">
        <v>212989.0</v>
      </c>
      <c r="D2278" s="47" t="str">
        <f>VLOOKUP(C2278,'Equalização'!E:J,6,0)</f>
        <v>#N/A</v>
      </c>
    </row>
    <row r="2279" ht="15.75" customHeight="1">
      <c r="C2279" s="47">
        <v>214214.0</v>
      </c>
      <c r="D2279" s="47" t="str">
        <f>VLOOKUP(C2279,'Equalização'!E:J,6,0)</f>
        <v>#N/A</v>
      </c>
    </row>
    <row r="2280" ht="15.75" customHeight="1">
      <c r="C2280" s="47">
        <v>229279.0</v>
      </c>
      <c r="D2280" s="47" t="str">
        <f>VLOOKUP(C2280,'Equalização'!E:J,6,0)</f>
        <v>#N/A</v>
      </c>
    </row>
    <row r="2281" ht="15.75" customHeight="1">
      <c r="C2281" s="47">
        <v>236221.0</v>
      </c>
      <c r="D2281" s="47" t="str">
        <f>VLOOKUP(C2281,'Equalização'!E:J,6,0)</f>
        <v>#N/A</v>
      </c>
    </row>
    <row r="2282" ht="15.75" customHeight="1">
      <c r="C2282" s="47">
        <v>210206.0</v>
      </c>
      <c r="D2282" s="47" t="str">
        <f>VLOOKUP(C2282,'Equalização'!E:J,6,0)</f>
        <v>#N/A</v>
      </c>
    </row>
    <row r="2283" ht="15.75" customHeight="1">
      <c r="C2283" s="47">
        <v>236669.0</v>
      </c>
      <c r="D2283" s="47" t="str">
        <f>VLOOKUP(C2283,'Equalização'!E:J,6,0)</f>
        <v>#N/A</v>
      </c>
    </row>
    <row r="2284" ht="15.75" customHeight="1">
      <c r="C2284" s="47">
        <v>225237.0</v>
      </c>
      <c r="D2284" s="47" t="str">
        <f>VLOOKUP(C2284,'Equalização'!E:J,6,0)</f>
        <v>#N/A</v>
      </c>
    </row>
    <row r="2285" ht="15.75" customHeight="1">
      <c r="C2285" s="47">
        <v>113921.0</v>
      </c>
      <c r="D2285" s="47" t="str">
        <f>VLOOKUP(C2285,'Equalização'!E:J,6,0)</f>
        <v>#N/A</v>
      </c>
    </row>
    <row r="2286" ht="15.75" customHeight="1">
      <c r="C2286" s="47">
        <v>126489.0</v>
      </c>
      <c r="D2286" s="47" t="str">
        <f>VLOOKUP(C2286,'Equalização'!E:J,6,0)</f>
        <v>#N/A</v>
      </c>
    </row>
    <row r="2287" ht="15.75" customHeight="1">
      <c r="C2287" s="47">
        <v>201160.0</v>
      </c>
      <c r="D2287" s="47" t="str">
        <f>VLOOKUP(C2287,'Equalização'!E:J,6,0)</f>
        <v>#N/A</v>
      </c>
    </row>
    <row r="2288" ht="15.75" customHeight="1">
      <c r="C2288" s="47">
        <v>221394.0</v>
      </c>
      <c r="D2288" s="47" t="str">
        <f>VLOOKUP(C2288,'Equalização'!E:J,6,0)</f>
        <v>#N/A</v>
      </c>
    </row>
    <row r="2289" ht="15.75" customHeight="1">
      <c r="C2289" s="47">
        <v>221410.0</v>
      </c>
      <c r="D2289" s="47" t="str">
        <f>VLOOKUP(C2289,'Equalização'!E:J,6,0)</f>
        <v>#N/A</v>
      </c>
    </row>
    <row r="2290" ht="15.75" customHeight="1">
      <c r="C2290" s="47">
        <v>227760.0</v>
      </c>
      <c r="D2290" s="47" t="str">
        <f>VLOOKUP(C2290,'Equalização'!E:J,6,0)</f>
        <v>#N/A</v>
      </c>
    </row>
    <row r="2291" ht="15.75" customHeight="1">
      <c r="C2291" s="47">
        <v>113930.0</v>
      </c>
      <c r="D2291" s="47" t="str">
        <f>VLOOKUP(C2291,'Equalização'!E:J,6,0)</f>
        <v>#N/A</v>
      </c>
    </row>
    <row r="2292" ht="15.75" customHeight="1">
      <c r="C2292" s="47">
        <v>220059.0</v>
      </c>
      <c r="D2292" s="47" t="str">
        <f>VLOOKUP(C2292,'Equalização'!E:J,6,0)</f>
        <v>#N/A</v>
      </c>
    </row>
    <row r="2293" ht="15.75" customHeight="1">
      <c r="C2293" s="47">
        <v>221379.0</v>
      </c>
      <c r="D2293" s="47" t="str">
        <f>VLOOKUP(C2293,'Equalização'!E:J,6,0)</f>
        <v>#N/A</v>
      </c>
    </row>
    <row r="2294" ht="15.75" customHeight="1">
      <c r="C2294" s="47">
        <v>221388.0</v>
      </c>
      <c r="D2294" s="47" t="str">
        <f>VLOOKUP(C2294,'Equalização'!E:J,6,0)</f>
        <v>#N/A</v>
      </c>
    </row>
    <row r="2295" ht="15.75" customHeight="1">
      <c r="C2295" s="47">
        <v>221389.0</v>
      </c>
      <c r="D2295" s="47" t="str">
        <f>VLOOKUP(C2295,'Equalização'!E:J,6,0)</f>
        <v>#N/A</v>
      </c>
    </row>
    <row r="2296" ht="15.75" customHeight="1">
      <c r="C2296" s="47">
        <v>221391.0</v>
      </c>
      <c r="D2296" s="47" t="str">
        <f>VLOOKUP(C2296,'Equalização'!E:J,6,0)</f>
        <v>#N/A</v>
      </c>
    </row>
    <row r="2297" ht="15.75" customHeight="1">
      <c r="C2297" s="47">
        <v>222180.0</v>
      </c>
      <c r="D2297" s="47" t="str">
        <f>VLOOKUP(C2297,'Equalização'!E:J,6,0)</f>
        <v>#N/A</v>
      </c>
    </row>
    <row r="2298" ht="15.75" customHeight="1">
      <c r="C2298" s="47">
        <v>222185.0</v>
      </c>
      <c r="D2298" s="47" t="str">
        <f>VLOOKUP(C2298,'Equalização'!E:J,6,0)</f>
        <v>#N/A</v>
      </c>
    </row>
    <row r="2299" ht="15.75" customHeight="1">
      <c r="C2299" s="47">
        <v>214204.0</v>
      </c>
      <c r="D2299" s="47" t="str">
        <f>VLOOKUP(C2299,'Equalização'!E:J,6,0)</f>
        <v>#N/A</v>
      </c>
    </row>
    <row r="2300" ht="15.75" customHeight="1">
      <c r="C2300" s="47">
        <v>240748.0</v>
      </c>
      <c r="D2300" s="47" t="str">
        <f>VLOOKUP(C2300,'Equalização'!E:J,6,0)</f>
        <v>#N/A</v>
      </c>
    </row>
    <row r="2301" ht="15.75" customHeight="1">
      <c r="C2301" s="47">
        <v>204742.0</v>
      </c>
      <c r="D2301" s="47" t="str">
        <f>VLOOKUP(C2301,'Equalização'!E:J,6,0)</f>
        <v>#N/A</v>
      </c>
    </row>
    <row r="2302" ht="15.75" customHeight="1">
      <c r="C2302" s="47">
        <v>101460.0</v>
      </c>
      <c r="D2302" s="47" t="str">
        <f>VLOOKUP(C2302,'Equalização'!E:J,6,0)</f>
        <v>#N/A</v>
      </c>
    </row>
    <row r="2303" ht="15.75" customHeight="1">
      <c r="C2303" s="47">
        <v>237266.0</v>
      </c>
      <c r="D2303" s="47" t="str">
        <f>VLOOKUP(C2303,'Equalização'!E:J,6,0)</f>
        <v>#N/A</v>
      </c>
    </row>
    <row r="2304" ht="15.75" customHeight="1">
      <c r="C2304" s="47">
        <v>213066.0</v>
      </c>
      <c r="D2304" s="47" t="str">
        <f>VLOOKUP(C2304,'Equalização'!E:J,6,0)</f>
        <v>#N/A</v>
      </c>
    </row>
    <row r="2305" ht="15.75" customHeight="1">
      <c r="C2305" s="47">
        <v>218504.0</v>
      </c>
      <c r="D2305" s="47" t="str">
        <f>VLOOKUP(C2305,'Equalização'!E:J,6,0)</f>
        <v>#N/A</v>
      </c>
    </row>
    <row r="2306" ht="15.75" customHeight="1">
      <c r="C2306" s="47">
        <v>240945.0</v>
      </c>
      <c r="D2306" s="47" t="str">
        <f>VLOOKUP(C2306,'Equalização'!E:J,6,0)</f>
        <v>#N/A</v>
      </c>
    </row>
    <row r="2307" ht="15.75" customHeight="1">
      <c r="C2307" s="47">
        <v>211677.0</v>
      </c>
      <c r="D2307" s="47" t="str">
        <f>VLOOKUP(C2307,'Equalização'!E:J,6,0)</f>
        <v>#N/A</v>
      </c>
    </row>
    <row r="2308" ht="15.75" customHeight="1">
      <c r="C2308" s="47">
        <v>211646.0</v>
      </c>
      <c r="D2308" s="47" t="str">
        <f>VLOOKUP(C2308,'Equalização'!E:J,6,0)</f>
        <v>#N/A</v>
      </c>
    </row>
    <row r="2309" ht="15.75" customHeight="1">
      <c r="C2309" s="47">
        <v>237259.0</v>
      </c>
      <c r="D2309" s="47" t="str">
        <f>VLOOKUP(C2309,'Equalização'!E:J,6,0)</f>
        <v>#N/A</v>
      </c>
    </row>
    <row r="2310" ht="15.75" customHeight="1">
      <c r="C2310" s="47">
        <v>85898.0</v>
      </c>
      <c r="D2310" s="47" t="str">
        <f>VLOOKUP(C2310,'Equalização'!E:J,6,0)</f>
        <v>#N/A</v>
      </c>
    </row>
    <row r="2311" ht="15.75" customHeight="1">
      <c r="C2311" s="47">
        <v>240874.0</v>
      </c>
      <c r="D2311" s="47" t="str">
        <f>VLOOKUP(C2311,'Equalização'!E:J,6,0)</f>
        <v>#N/A</v>
      </c>
    </row>
    <row r="2312" ht="15.75" customHeight="1">
      <c r="C2312" s="47">
        <v>210735.0</v>
      </c>
      <c r="D2312" s="47" t="str">
        <f>VLOOKUP(C2312,'Equalização'!E:J,6,0)</f>
        <v>#N/A</v>
      </c>
    </row>
    <row r="2313" ht="15.75" customHeight="1">
      <c r="C2313" s="47">
        <v>225524.0</v>
      </c>
      <c r="D2313" s="47" t="str">
        <f>VLOOKUP(C2313,'Equalização'!E:J,6,0)</f>
        <v>#N/A</v>
      </c>
    </row>
    <row r="2314" ht="15.75" customHeight="1">
      <c r="C2314" s="47">
        <v>152603.0</v>
      </c>
      <c r="D2314" s="47" t="str">
        <f>VLOOKUP(C2314,'Equalização'!E:J,6,0)</f>
        <v>#N/A</v>
      </c>
    </row>
    <row r="2315" ht="15.75" customHeight="1">
      <c r="C2315" s="47">
        <v>236672.0</v>
      </c>
      <c r="D2315" s="47" t="str">
        <f>VLOOKUP(C2315,'Equalização'!E:J,6,0)</f>
        <v>#N/A</v>
      </c>
    </row>
    <row r="2316" ht="15.75" customHeight="1">
      <c r="C2316" s="47">
        <v>226394.0</v>
      </c>
      <c r="D2316" s="47" t="str">
        <f>VLOOKUP(C2316,'Equalização'!E:J,6,0)</f>
        <v>#N/A</v>
      </c>
    </row>
    <row r="2317" ht="15.75" customHeight="1">
      <c r="C2317" s="47">
        <v>236670.0</v>
      </c>
      <c r="D2317" s="47" t="str">
        <f>VLOOKUP(C2317,'Equalização'!E:J,6,0)</f>
        <v>#N/A</v>
      </c>
    </row>
    <row r="2318" ht="15.75" customHeight="1">
      <c r="C2318" s="47">
        <v>236673.0</v>
      </c>
      <c r="D2318" s="47" t="str">
        <f>VLOOKUP(C2318,'Equalização'!E:J,6,0)</f>
        <v>#N/A</v>
      </c>
    </row>
    <row r="2319" ht="15.75" customHeight="1">
      <c r="C2319" s="47">
        <v>85960.0</v>
      </c>
      <c r="D2319" s="47" t="str">
        <f>VLOOKUP(C2319,'Equalização'!E:J,6,0)</f>
        <v>#N/A</v>
      </c>
    </row>
    <row r="2320" ht="15.75" customHeight="1">
      <c r="C2320" s="47">
        <v>122705.0</v>
      </c>
      <c r="D2320" s="47" t="str">
        <f>VLOOKUP(C2320,'Equalização'!E:J,6,0)</f>
        <v>#N/A</v>
      </c>
    </row>
    <row r="2321" ht="15.75" customHeight="1">
      <c r="C2321" s="47">
        <v>124025.0</v>
      </c>
      <c r="D2321" s="47" t="str">
        <f>VLOOKUP(C2321,'Equalização'!E:J,6,0)</f>
        <v>#N/A</v>
      </c>
    </row>
    <row r="2322" ht="15.75" customHeight="1">
      <c r="C2322" s="47">
        <v>126490.0</v>
      </c>
      <c r="D2322" s="47" t="str">
        <f>VLOOKUP(C2322,'Equalização'!E:J,6,0)</f>
        <v>#N/A</v>
      </c>
    </row>
    <row r="2323" ht="15.75" customHeight="1">
      <c r="C2323" s="47">
        <v>203157.0</v>
      </c>
      <c r="D2323" s="47" t="str">
        <f>VLOOKUP(C2323,'Equalização'!E:J,6,0)</f>
        <v>#N/A</v>
      </c>
    </row>
    <row r="2324" ht="15.75" customHeight="1">
      <c r="C2324" s="47">
        <v>220060.0</v>
      </c>
      <c r="D2324" s="47" t="str">
        <f>VLOOKUP(C2324,'Equalização'!E:J,6,0)</f>
        <v>#N/A</v>
      </c>
    </row>
    <row r="2325" ht="15.75" customHeight="1">
      <c r="C2325" s="47">
        <v>194554.0</v>
      </c>
      <c r="D2325" s="47" t="str">
        <f>VLOOKUP(C2325,'Equalização'!E:J,6,0)</f>
        <v>#N/A</v>
      </c>
    </row>
    <row r="2326" ht="15.75" customHeight="1">
      <c r="C2326" s="47">
        <v>237778.0</v>
      </c>
      <c r="D2326" s="47" t="str">
        <f>VLOOKUP(C2326,'Equalização'!E:J,6,0)</f>
        <v>#N/A</v>
      </c>
    </row>
    <row r="2327" ht="15.75" customHeight="1">
      <c r="C2327" s="47">
        <v>210198.0</v>
      </c>
      <c r="D2327" s="47" t="str">
        <f>VLOOKUP(C2327,'Equalização'!E:J,6,0)</f>
        <v>#N/A</v>
      </c>
    </row>
    <row r="2328" ht="15.75" customHeight="1">
      <c r="C2328" s="47">
        <v>241161.0</v>
      </c>
      <c r="D2328" s="47" t="str">
        <f>VLOOKUP(C2328,'Equalização'!E:J,6,0)</f>
        <v>#N/A</v>
      </c>
    </row>
    <row r="2329" ht="15.75" customHeight="1">
      <c r="C2329" s="47">
        <v>230534.0</v>
      </c>
      <c r="D2329" s="47" t="str">
        <f>VLOOKUP(C2329,'Equalização'!E:J,6,0)</f>
        <v>#N/A</v>
      </c>
    </row>
    <row r="2330" ht="15.75" customHeight="1">
      <c r="C2330" s="47">
        <v>213001.0</v>
      </c>
      <c r="D2330" s="47" t="str">
        <f>VLOOKUP(C2330,'Equalização'!E:J,6,0)</f>
        <v>#N/A</v>
      </c>
    </row>
    <row r="2331" ht="15.75" customHeight="1">
      <c r="C2331" s="47">
        <v>240747.0</v>
      </c>
      <c r="D2331" s="47" t="str">
        <f>VLOOKUP(C2331,'Equalização'!E:J,6,0)</f>
        <v>#N/A</v>
      </c>
    </row>
    <row r="2332" ht="15.75" customHeight="1">
      <c r="C2332" s="47">
        <v>53392.0</v>
      </c>
      <c r="D2332" s="47" t="str">
        <f>VLOOKUP(C2332,'Equalização'!E:J,6,0)</f>
        <v>#N/A</v>
      </c>
    </row>
    <row r="2333" ht="15.75" customHeight="1">
      <c r="C2333" s="47">
        <v>209036.0</v>
      </c>
      <c r="D2333" s="47" t="str">
        <f>VLOOKUP(C2333,'Equalização'!E:J,6,0)</f>
        <v>#N/A</v>
      </c>
    </row>
    <row r="2334" ht="15.75" customHeight="1">
      <c r="C2334" s="47">
        <v>213056.0</v>
      </c>
      <c r="D2334" s="47" t="str">
        <f>VLOOKUP(C2334,'Equalização'!E:J,6,0)</f>
        <v>#N/A</v>
      </c>
    </row>
    <row r="2335" ht="15.75" customHeight="1">
      <c r="C2335" s="47">
        <v>240884.0</v>
      </c>
      <c r="D2335" s="47" t="str">
        <f>VLOOKUP(C2335,'Equalização'!E:J,6,0)</f>
        <v>#N/A</v>
      </c>
    </row>
    <row r="2336" ht="15.75" customHeight="1">
      <c r="C2336" s="47">
        <v>240959.0</v>
      </c>
      <c r="D2336" s="47" t="str">
        <f>VLOOKUP(C2336,'Equalização'!E:J,6,0)</f>
        <v>#N/A</v>
      </c>
    </row>
    <row r="2337" ht="15.75" customHeight="1">
      <c r="C2337" s="47">
        <v>128943.0</v>
      </c>
      <c r="D2337" s="47" t="str">
        <f>VLOOKUP(C2337,'Equalização'!E:J,6,0)</f>
        <v>#N/A</v>
      </c>
    </row>
    <row r="2338" ht="15.75" customHeight="1">
      <c r="C2338" s="47">
        <v>240896.0</v>
      </c>
      <c r="D2338" s="47" t="str">
        <f>VLOOKUP(C2338,'Equalização'!E:J,6,0)</f>
        <v>#N/A</v>
      </c>
    </row>
    <row r="2339" ht="15.75" customHeight="1">
      <c r="C2339" s="47">
        <v>240897.0</v>
      </c>
      <c r="D2339" s="47" t="str">
        <f>VLOOKUP(C2339,'Equalização'!E:J,6,0)</f>
        <v>#N/A</v>
      </c>
    </row>
    <row r="2340" ht="15.75" customHeight="1">
      <c r="C2340" s="47">
        <v>240898.0</v>
      </c>
      <c r="D2340" s="47" t="str">
        <f>VLOOKUP(C2340,'Equalização'!E:J,6,0)</f>
        <v>#N/A</v>
      </c>
    </row>
    <row r="2341" ht="15.75" customHeight="1">
      <c r="C2341" s="47">
        <v>215822.0</v>
      </c>
      <c r="D2341" s="47" t="str">
        <f>VLOOKUP(C2341,'Equalização'!E:J,6,0)</f>
        <v>#N/A</v>
      </c>
    </row>
    <row r="2342" ht="15.75" customHeight="1">
      <c r="C2342" s="47">
        <v>56294.0</v>
      </c>
      <c r="D2342" s="47" t="str">
        <f>VLOOKUP(C2342,'Equalização'!E:J,6,0)</f>
        <v>#N/A</v>
      </c>
    </row>
    <row r="2343" ht="15.75" customHeight="1">
      <c r="C2343" s="47">
        <v>213031.0</v>
      </c>
      <c r="D2343" s="47" t="str">
        <f>VLOOKUP(C2343,'Equalização'!E:J,6,0)</f>
        <v>#N/A</v>
      </c>
    </row>
    <row r="2344" ht="15.75" customHeight="1">
      <c r="C2344" s="47">
        <v>105899.0</v>
      </c>
      <c r="D2344" s="47" t="str">
        <f>VLOOKUP(C2344,'Equalização'!E:J,6,0)</f>
        <v>#N/A</v>
      </c>
    </row>
    <row r="2345" ht="15.75" customHeight="1">
      <c r="C2345" s="47">
        <v>240811.0</v>
      </c>
      <c r="D2345" s="47" t="str">
        <f>VLOOKUP(C2345,'Equalização'!E:J,6,0)</f>
        <v>#N/A</v>
      </c>
    </row>
    <row r="2346" ht="15.75" customHeight="1">
      <c r="C2346" s="47">
        <v>228148.0</v>
      </c>
      <c r="D2346" s="47" t="str">
        <f>VLOOKUP(C2346,'Equalização'!E:J,6,0)</f>
        <v>#N/A</v>
      </c>
    </row>
    <row r="2347" ht="15.75" customHeight="1">
      <c r="C2347" s="47">
        <v>207823.0</v>
      </c>
      <c r="D2347" s="47" t="str">
        <f>VLOOKUP(C2347,'Equalização'!E:J,6,0)</f>
        <v>#N/A</v>
      </c>
    </row>
    <row r="2348" ht="15.75" customHeight="1">
      <c r="C2348" s="47">
        <v>236667.0</v>
      </c>
      <c r="D2348" s="47" t="str">
        <f>VLOOKUP(C2348,'Equalização'!E:J,6,0)</f>
        <v>#N/A</v>
      </c>
    </row>
    <row r="2349" ht="15.75" customHeight="1">
      <c r="C2349" s="47">
        <v>85901.0</v>
      </c>
      <c r="D2349" s="47" t="str">
        <f>VLOOKUP(C2349,'Equalização'!E:J,6,0)</f>
        <v>#N/A</v>
      </c>
    </row>
    <row r="2350" ht="15.75" customHeight="1">
      <c r="C2350" s="47">
        <v>85952.0</v>
      </c>
      <c r="D2350" s="47" t="str">
        <f>VLOOKUP(C2350,'Equalização'!E:J,6,0)</f>
        <v>#N/A</v>
      </c>
    </row>
    <row r="2351" ht="15.75" customHeight="1">
      <c r="C2351" s="47">
        <v>110507.0</v>
      </c>
      <c r="D2351" s="47" t="str">
        <f>VLOOKUP(C2351,'Equalização'!E:J,6,0)</f>
        <v>#N/A</v>
      </c>
    </row>
    <row r="2352" ht="15.75" customHeight="1">
      <c r="C2352" s="47">
        <v>241278.0</v>
      </c>
      <c r="D2352" s="47" t="str">
        <f>VLOOKUP(C2352,'Equalização'!E:J,6,0)</f>
        <v>#N/A</v>
      </c>
    </row>
    <row r="2353" ht="15.75" customHeight="1">
      <c r="C2353" s="47">
        <v>228796.0</v>
      </c>
      <c r="D2353" s="47" t="str">
        <f>VLOOKUP(C2353,'Equalização'!E:J,6,0)</f>
        <v>#N/A</v>
      </c>
    </row>
    <row r="2354" ht="15.75" customHeight="1">
      <c r="C2354" s="47">
        <v>204423.0</v>
      </c>
      <c r="D2354" s="47" t="str">
        <f>VLOOKUP(C2354,'Equalização'!E:J,6,0)</f>
        <v>#N/A</v>
      </c>
    </row>
    <row r="2355" ht="15.75" customHeight="1">
      <c r="C2355" s="47">
        <v>204427.0</v>
      </c>
      <c r="D2355" s="47" t="str">
        <f>VLOOKUP(C2355,'Equalização'!E:J,6,0)</f>
        <v>#N/A</v>
      </c>
    </row>
    <row r="2356" ht="15.75" customHeight="1">
      <c r="C2356" s="47">
        <v>110523.0</v>
      </c>
      <c r="D2356" s="47" t="str">
        <f>VLOOKUP(C2356,'Equalização'!E:J,6,0)</f>
        <v>#N/A</v>
      </c>
    </row>
    <row r="2357" ht="15.75" customHeight="1">
      <c r="C2357" s="47">
        <v>110604.0</v>
      </c>
      <c r="D2357" s="47" t="str">
        <f>VLOOKUP(C2357,'Equalização'!E:J,6,0)</f>
        <v>#N/A</v>
      </c>
    </row>
    <row r="2358" ht="15.75" customHeight="1">
      <c r="C2358" s="47">
        <v>135025.0</v>
      </c>
      <c r="D2358" s="47" t="str">
        <f>VLOOKUP(C2358,'Equalização'!E:J,6,0)</f>
        <v>#N/A</v>
      </c>
    </row>
    <row r="2359" ht="15.75" customHeight="1">
      <c r="C2359" s="47">
        <v>210956.0</v>
      </c>
      <c r="D2359" s="47" t="str">
        <f>VLOOKUP(C2359,'Equalização'!E:J,6,0)</f>
        <v>#N/A</v>
      </c>
    </row>
    <row r="2360" ht="15.75" customHeight="1">
      <c r="C2360" s="47">
        <v>210759.0</v>
      </c>
      <c r="D2360" s="47" t="str">
        <f>VLOOKUP(C2360,'Equalização'!E:J,6,0)</f>
        <v>#N/A</v>
      </c>
    </row>
    <row r="2361" ht="15.75" customHeight="1">
      <c r="C2361" s="47">
        <v>220057.0</v>
      </c>
      <c r="D2361" s="47" t="str">
        <f>VLOOKUP(C2361,'Equalização'!E:J,6,0)</f>
        <v>#N/A</v>
      </c>
    </row>
    <row r="2362" ht="15.75" customHeight="1">
      <c r="C2362" s="47">
        <v>220058.0</v>
      </c>
      <c r="D2362" s="47" t="str">
        <f>VLOOKUP(C2362,'Equalização'!E:J,6,0)</f>
        <v>#N/A</v>
      </c>
    </row>
    <row r="2363" ht="15.75" customHeight="1">
      <c r="C2363" s="47">
        <v>220064.0</v>
      </c>
      <c r="D2363" s="47" t="str">
        <f>VLOOKUP(C2363,'Equalização'!E:J,6,0)</f>
        <v>#N/A</v>
      </c>
    </row>
    <row r="2364" ht="15.75" customHeight="1">
      <c r="C2364" s="47">
        <v>220065.0</v>
      </c>
      <c r="D2364" s="47" t="str">
        <f>VLOOKUP(C2364,'Equalização'!E:J,6,0)</f>
        <v>#N/A</v>
      </c>
    </row>
    <row r="2365" ht="15.75" customHeight="1">
      <c r="C2365" s="47">
        <v>241186.0</v>
      </c>
      <c r="D2365" s="47" t="str">
        <f>VLOOKUP(C2365,'Equalização'!E:J,6,0)</f>
        <v>#N/A</v>
      </c>
    </row>
    <row r="2366" ht="15.75" customHeight="1">
      <c r="C2366" s="47">
        <v>213895.0</v>
      </c>
      <c r="D2366" s="47" t="str">
        <f>VLOOKUP(C2366,'Equalização'!E:J,6,0)</f>
        <v>#N/A</v>
      </c>
    </row>
    <row r="2367" ht="15.75" customHeight="1">
      <c r="C2367" s="47">
        <v>210670.0</v>
      </c>
      <c r="D2367" s="47" t="str">
        <f>VLOOKUP(C2367,'Equalização'!E:J,6,0)</f>
        <v>#N/A</v>
      </c>
    </row>
    <row r="2368" ht="15.75" customHeight="1">
      <c r="C2368" s="47">
        <v>240732.0</v>
      </c>
      <c r="D2368" s="47" t="str">
        <f>VLOOKUP(C2368,'Equalização'!E:J,6,0)</f>
        <v>#N/A</v>
      </c>
    </row>
    <row r="2369" ht="15.75" customHeight="1">
      <c r="C2369" s="47">
        <v>169369.0</v>
      </c>
      <c r="D2369" s="47" t="str">
        <f>VLOOKUP(C2369,'Equalização'!E:J,6,0)</f>
        <v>#N/A</v>
      </c>
    </row>
    <row r="2370" ht="15.75" customHeight="1">
      <c r="C2370" s="47">
        <v>77607.0</v>
      </c>
      <c r="D2370" s="47" t="str">
        <f>VLOOKUP(C2370,'Equalização'!E:J,6,0)</f>
        <v>#N/A</v>
      </c>
    </row>
    <row r="2371" ht="15.75" customHeight="1">
      <c r="C2371" s="47">
        <v>223671.0</v>
      </c>
      <c r="D2371" s="47" t="str">
        <f>VLOOKUP(C2371,'Equalização'!E:J,6,0)</f>
        <v>#N/A</v>
      </c>
    </row>
    <row r="2372" ht="15.75" customHeight="1">
      <c r="C2372" s="47">
        <v>214526.0</v>
      </c>
      <c r="D2372" s="47" t="str">
        <f>VLOOKUP(C2372,'Equalização'!E:J,6,0)</f>
        <v>#N/A</v>
      </c>
    </row>
    <row r="2373" ht="15.75" customHeight="1">
      <c r="C2373" s="47">
        <v>225770.0</v>
      </c>
      <c r="D2373" s="47" t="str">
        <f>VLOOKUP(C2373,'Equalização'!E:J,6,0)</f>
        <v>#N/A</v>
      </c>
    </row>
    <row r="2374" ht="15.75" customHeight="1">
      <c r="C2374" s="47">
        <v>236665.0</v>
      </c>
      <c r="D2374" s="47" t="str">
        <f>VLOOKUP(C2374,'Equalização'!E:J,6,0)</f>
        <v>#N/A</v>
      </c>
    </row>
    <row r="2375" ht="15.75" customHeight="1">
      <c r="C2375" s="47">
        <v>237269.0</v>
      </c>
      <c r="D2375" s="47" t="str">
        <f>VLOOKUP(C2375,'Equalização'!E:J,6,0)</f>
        <v>#N/A</v>
      </c>
    </row>
    <row r="2376" ht="15.75" customHeight="1">
      <c r="C2376" s="47">
        <v>211098.0</v>
      </c>
      <c r="D2376" s="47" t="str">
        <f>VLOOKUP(C2376,'Equalização'!E:J,6,0)</f>
        <v>#N/A</v>
      </c>
    </row>
    <row r="2377" ht="15.75" customHeight="1">
      <c r="C2377" s="47">
        <v>211539.0</v>
      </c>
      <c r="D2377" s="47" t="str">
        <f>VLOOKUP(C2377,'Equalização'!E:J,6,0)</f>
        <v>#N/A</v>
      </c>
    </row>
    <row r="2378" ht="15.75" customHeight="1">
      <c r="C2378" s="47">
        <v>238314.0</v>
      </c>
      <c r="D2378" s="47" t="str">
        <f>VLOOKUP(C2378,'Equalização'!E:J,6,0)</f>
        <v>#N/A</v>
      </c>
    </row>
    <row r="2379" ht="15.75" customHeight="1">
      <c r="C2379" s="47">
        <v>236679.0</v>
      </c>
      <c r="D2379" s="47" t="str">
        <f>VLOOKUP(C2379,'Equalização'!E:J,6,0)</f>
        <v>#N/A</v>
      </c>
    </row>
    <row r="2380" ht="15.75" customHeight="1">
      <c r="C2380" s="47">
        <v>77631.0</v>
      </c>
      <c r="D2380" s="47" t="str">
        <f>VLOOKUP(C2380,'Equalização'!E:J,6,0)</f>
        <v>#N/A</v>
      </c>
    </row>
    <row r="2381" ht="15.75" customHeight="1">
      <c r="C2381" s="47">
        <v>131684.0</v>
      </c>
      <c r="D2381" s="47" t="str">
        <f>VLOOKUP(C2381,'Equalização'!E:J,6,0)</f>
        <v>#N/A</v>
      </c>
    </row>
    <row r="2382" ht="15.75" customHeight="1">
      <c r="C2382" s="47">
        <v>211174.0</v>
      </c>
      <c r="D2382" s="47" t="str">
        <f>VLOOKUP(C2382,'Equalização'!E:J,6,0)</f>
        <v>#N/A</v>
      </c>
    </row>
    <row r="2383" ht="15.75" customHeight="1">
      <c r="C2383" s="47">
        <v>207193.0</v>
      </c>
      <c r="D2383" s="47" t="str">
        <f>VLOOKUP(C2383,'Equalização'!E:J,6,0)</f>
        <v>#N/A</v>
      </c>
    </row>
    <row r="2384" ht="15.75" customHeight="1">
      <c r="C2384" s="47">
        <v>210760.0</v>
      </c>
      <c r="D2384" s="47" t="str">
        <f>VLOOKUP(C2384,'Equalização'!E:J,6,0)</f>
        <v>#N/A</v>
      </c>
    </row>
    <row r="2385" ht="15.75" customHeight="1">
      <c r="C2385" s="47">
        <v>238089.0</v>
      </c>
      <c r="D2385" s="47" t="str">
        <f>VLOOKUP(C2385,'Equalização'!E:J,6,0)</f>
        <v>#N/A</v>
      </c>
    </row>
    <row r="2386" ht="15.75" customHeight="1">
      <c r="C2386" s="47">
        <v>65870.0</v>
      </c>
      <c r="D2386" s="47" t="str">
        <f>VLOOKUP(C2386,'Equalização'!E:J,6,0)</f>
        <v>#N/A</v>
      </c>
    </row>
    <row r="2387" ht="15.75" customHeight="1">
      <c r="C2387" s="47">
        <v>241197.0</v>
      </c>
      <c r="D2387" s="47" t="str">
        <f>VLOOKUP(C2387,'Equalização'!E:J,6,0)</f>
        <v>#N/A</v>
      </c>
    </row>
    <row r="2388" ht="15.75" customHeight="1">
      <c r="C2388" s="47">
        <v>239842.0</v>
      </c>
      <c r="D2388" s="47" t="str">
        <f>VLOOKUP(C2388,'Equalização'!E:J,6,0)</f>
        <v>#N/A</v>
      </c>
    </row>
    <row r="2389" ht="15.75" customHeight="1">
      <c r="C2389" s="47">
        <v>223444.0</v>
      </c>
      <c r="D2389" s="47" t="str">
        <f>VLOOKUP(C2389,'Equalização'!E:J,6,0)</f>
        <v>#N/A</v>
      </c>
    </row>
    <row r="2390" ht="15.75" customHeight="1">
      <c r="C2390" s="47">
        <v>236664.0</v>
      </c>
      <c r="D2390" s="47" t="str">
        <f>VLOOKUP(C2390,'Equalização'!E:J,6,0)</f>
        <v>#N/A</v>
      </c>
    </row>
    <row r="2391" ht="15.75" customHeight="1">
      <c r="C2391" s="47">
        <v>36641.0</v>
      </c>
      <c r="D2391" s="47" t="str">
        <f>VLOOKUP(C2391,'Equalização'!E:J,6,0)</f>
        <v>#N/A</v>
      </c>
    </row>
    <row r="2392" ht="15.75" customHeight="1">
      <c r="C2392" s="47">
        <v>204716.0</v>
      </c>
      <c r="D2392" s="47" t="str">
        <f>VLOOKUP(C2392,'Equalização'!E:J,6,0)</f>
        <v>#N/A</v>
      </c>
    </row>
    <row r="2393" ht="15.75" customHeight="1">
      <c r="C2393" s="47">
        <v>239840.0</v>
      </c>
      <c r="D2393" s="47" t="str">
        <f>VLOOKUP(C2393,'Equalização'!E:J,6,0)</f>
        <v>#N/A</v>
      </c>
    </row>
    <row r="2394" ht="15.75" customHeight="1">
      <c r="C2394" s="47">
        <v>238311.0</v>
      </c>
      <c r="D2394" s="47" t="str">
        <f>VLOOKUP(C2394,'Equalização'!E:J,6,0)</f>
        <v>#N/A</v>
      </c>
    </row>
    <row r="2395" ht="15.75" customHeight="1">
      <c r="C2395" s="47">
        <v>237481.0</v>
      </c>
      <c r="D2395" s="47" t="str">
        <f>VLOOKUP(C2395,'Equalização'!E:J,6,0)</f>
        <v>#N/A</v>
      </c>
    </row>
    <row r="2396" ht="15.75" customHeight="1">
      <c r="C2396" s="47">
        <v>238316.0</v>
      </c>
      <c r="D2396" s="47" t="str">
        <f>VLOOKUP(C2396,'Equalização'!E:J,6,0)</f>
        <v>#N/A</v>
      </c>
    </row>
    <row r="2397" ht="15.75" customHeight="1">
      <c r="C2397" s="47">
        <v>37893.0</v>
      </c>
      <c r="D2397" s="47" t="str">
        <f>VLOOKUP(C2397,'Equalização'!E:J,6,0)</f>
        <v>#N/A</v>
      </c>
    </row>
    <row r="2398" ht="15.75" customHeight="1">
      <c r="C2398" s="47">
        <v>48720.0</v>
      </c>
      <c r="D2398" s="47" t="str">
        <f>VLOOKUP(C2398,'Equalização'!E:J,6,0)</f>
        <v>#N/A</v>
      </c>
    </row>
    <row r="2399" ht="15.75" customHeight="1">
      <c r="C2399" s="47">
        <v>118086.0</v>
      </c>
      <c r="D2399" s="47" t="str">
        <f>VLOOKUP(C2399,'Equalização'!E:J,6,0)</f>
        <v>#N/A</v>
      </c>
    </row>
    <row r="2400" ht="15.75" customHeight="1">
      <c r="C2400" s="47">
        <v>241149.0</v>
      </c>
      <c r="D2400" s="47" t="str">
        <f>VLOOKUP(C2400,'Equalização'!E:J,6,0)</f>
        <v>#N/A</v>
      </c>
    </row>
    <row r="2401" ht="15.75" customHeight="1">
      <c r="C2401" s="47">
        <v>237180.0</v>
      </c>
      <c r="D2401" s="47" t="str">
        <f>VLOOKUP(C2401,'Equalização'!E:J,6,0)</f>
        <v>#N/A</v>
      </c>
    </row>
    <row r="2402" ht="15.75" customHeight="1">
      <c r="C2402" s="47">
        <v>210669.0</v>
      </c>
      <c r="D2402" s="47" t="str">
        <f>VLOOKUP(C2402,'Equalização'!E:J,6,0)</f>
        <v>#N/A</v>
      </c>
    </row>
    <row r="2403" ht="15.75" customHeight="1">
      <c r="C2403" s="47">
        <v>109622.0</v>
      </c>
      <c r="D2403" s="47" t="str">
        <f>VLOOKUP(C2403,'Equalização'!E:J,6,0)</f>
        <v>#N/A</v>
      </c>
    </row>
    <row r="2404" ht="15.75" customHeight="1">
      <c r="C2404" s="47">
        <v>226150.0</v>
      </c>
      <c r="D2404" s="47" t="str">
        <f>VLOOKUP(C2404,'Equalização'!E:J,6,0)</f>
        <v>#N/A</v>
      </c>
    </row>
    <row r="2405" ht="15.75" customHeight="1">
      <c r="C2405" s="47">
        <v>236860.0</v>
      </c>
      <c r="D2405" s="47" t="str">
        <f>VLOOKUP(C2405,'Equalização'!E:J,6,0)</f>
        <v>#N/A</v>
      </c>
    </row>
    <row r="2406" ht="15.75" customHeight="1">
      <c r="C2406" s="47">
        <v>207932.0</v>
      </c>
      <c r="D2406" s="47" t="str">
        <f>VLOOKUP(C2406,'Equalização'!E:J,6,0)</f>
        <v>#N/A</v>
      </c>
    </row>
    <row r="2407" ht="15.75" customHeight="1">
      <c r="C2407" s="47">
        <v>171879.0</v>
      </c>
      <c r="D2407" s="47" t="str">
        <f>VLOOKUP(C2407,'Equalização'!E:J,6,0)</f>
        <v>#N/A</v>
      </c>
    </row>
    <row r="2408" ht="15.75" customHeight="1">
      <c r="C2408" s="47">
        <v>214617.0</v>
      </c>
      <c r="D2408" s="47" t="str">
        <f>VLOOKUP(C2408,'Equalização'!E:J,6,0)</f>
        <v>#N/A</v>
      </c>
    </row>
    <row r="2409" ht="15.75" customHeight="1">
      <c r="C2409" s="47">
        <v>213053.0</v>
      </c>
      <c r="D2409" s="47" t="str">
        <f>VLOOKUP(C2409,'Equalização'!E:J,6,0)</f>
        <v>#N/A</v>
      </c>
    </row>
    <row r="2410" ht="15.75" customHeight="1">
      <c r="C2410" s="47">
        <v>238174.0</v>
      </c>
      <c r="D2410" s="47" t="str">
        <f>VLOOKUP(C2410,'Equalização'!E:J,6,0)</f>
        <v>#N/A</v>
      </c>
    </row>
    <row r="2411" ht="15.75" customHeight="1">
      <c r="C2411" s="47">
        <v>211359.0</v>
      </c>
      <c r="D2411" s="47" t="str">
        <f>VLOOKUP(C2411,'Equalização'!E:J,6,0)</f>
        <v>#N/A</v>
      </c>
    </row>
    <row r="2412" ht="15.75" customHeight="1">
      <c r="C2412" s="47">
        <v>240140.0</v>
      </c>
      <c r="D2412" s="47" t="str">
        <f>VLOOKUP(C2412,'Equalização'!E:J,6,0)</f>
        <v>#N/A</v>
      </c>
    </row>
    <row r="2413" ht="15.75" customHeight="1">
      <c r="C2413" s="47">
        <v>222991.0</v>
      </c>
      <c r="D2413" s="47" t="str">
        <f>VLOOKUP(C2413,'Equalização'!E:J,6,0)</f>
        <v>#N/A</v>
      </c>
    </row>
    <row r="2414" ht="15.75" customHeight="1">
      <c r="C2414" s="47">
        <v>225627.0</v>
      </c>
      <c r="D2414" s="47" t="str">
        <f>VLOOKUP(C2414,'Equalização'!E:J,6,0)</f>
        <v>#N/A</v>
      </c>
    </row>
    <row r="2415" ht="15.75" customHeight="1">
      <c r="C2415" s="47">
        <v>185674.0</v>
      </c>
      <c r="D2415" s="47" t="str">
        <f>VLOOKUP(C2415,'Equalização'!E:J,6,0)</f>
        <v>#N/A</v>
      </c>
    </row>
    <row r="2416" ht="15.75" customHeight="1">
      <c r="C2416" s="47">
        <v>211177.0</v>
      </c>
      <c r="D2416" s="47" t="str">
        <f>VLOOKUP(C2416,'Equalização'!E:J,6,0)</f>
        <v>#N/A</v>
      </c>
    </row>
    <row r="2417" ht="15.75" customHeight="1">
      <c r="C2417" s="47">
        <v>211184.0</v>
      </c>
      <c r="D2417" s="47" t="str">
        <f>VLOOKUP(C2417,'Equalização'!E:J,6,0)</f>
        <v>#N/A</v>
      </c>
    </row>
    <row r="2418" ht="15.75" customHeight="1">
      <c r="C2418" s="47">
        <v>212064.0</v>
      </c>
      <c r="D2418" s="47" t="str">
        <f>VLOOKUP(C2418,'Equalização'!E:J,6,0)</f>
        <v>#N/A</v>
      </c>
    </row>
    <row r="2419" ht="15.75" customHeight="1">
      <c r="C2419" s="47">
        <v>227602.0</v>
      </c>
      <c r="D2419" s="47" t="str">
        <f>VLOOKUP(C2419,'Equalização'!E:J,6,0)</f>
        <v>#N/A</v>
      </c>
    </row>
    <row r="2420" ht="15.75" customHeight="1">
      <c r="C2420" s="47">
        <v>240032.0</v>
      </c>
      <c r="D2420" s="47" t="str">
        <f>VLOOKUP(C2420,'Equalização'!E:J,6,0)</f>
        <v>#N/A</v>
      </c>
    </row>
    <row r="2421" ht="15.75" customHeight="1">
      <c r="C2421" s="47">
        <v>240035.0</v>
      </c>
      <c r="D2421" s="47" t="str">
        <f>VLOOKUP(C2421,'Equalização'!E:J,6,0)</f>
        <v>#N/A</v>
      </c>
    </row>
    <row r="2422" ht="15.75" customHeight="1">
      <c r="C2422" s="47">
        <v>240036.0</v>
      </c>
      <c r="D2422" s="47" t="str">
        <f>VLOOKUP(C2422,'Equalização'!E:J,6,0)</f>
        <v>#N/A</v>
      </c>
    </row>
    <row r="2423" ht="15.75" customHeight="1">
      <c r="C2423" s="47">
        <v>240289.0</v>
      </c>
      <c r="D2423" s="47" t="str">
        <f>VLOOKUP(C2423,'Equalização'!E:J,6,0)</f>
        <v>#N/A</v>
      </c>
    </row>
    <row r="2424" ht="15.75" customHeight="1">
      <c r="C2424" s="47">
        <v>240787.0</v>
      </c>
      <c r="D2424" s="47" t="str">
        <f>VLOOKUP(C2424,'Equalização'!E:J,6,0)</f>
        <v>#N/A</v>
      </c>
    </row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</sheetData>
  <printOptions/>
  <pageMargins bottom="0.787401575" footer="0.0" header="0.0" left="0.511811024" right="0.511811024" top="0.787401575"/>
  <pageSetup orientation="landscape"/>
  <headerFooter>
    <oddHeader>&amp;CFF0000 INTERNO#_x000D_</oddHeader>
    <oddFooter>&amp;C_x000D_#FF0000 INTERNO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15.0"/>
    <col customWidth="1" min="4" max="4" width="12.43"/>
    <col customWidth="1" min="5" max="6" width="8.29"/>
  </cols>
  <sheetData>
    <row r="2">
      <c r="C2" s="12"/>
      <c r="D2" s="12"/>
      <c r="E2" s="12"/>
    </row>
    <row r="3">
      <c r="C3" s="12"/>
      <c r="D3" s="12"/>
      <c r="E3" s="12"/>
    </row>
    <row r="4"/>
    <row r="5"/>
    <row r="6"/>
    <row r="7"/>
    <row r="8"/>
    <row r="9"/>
    <row r="10"/>
    <row r="11"/>
    <row r="12"/>
    <row r="13"/>
    <row r="14"/>
    <row r="15"/>
    <row r="16"/>
    <row r="17"/>
    <row r="18">
      <c r="C18" s="12"/>
      <c r="D18" s="12"/>
    </row>
    <row r="19">
      <c r="C19" s="12"/>
      <c r="D19" s="12"/>
    </row>
    <row r="20">
      <c r="C20" s="12"/>
      <c r="D20" s="12"/>
    </row>
    <row r="21" ht="15.75" customHeight="1">
      <c r="C21" s="12"/>
      <c r="D21" s="12"/>
    </row>
    <row r="22" ht="15.75" customHeight="1">
      <c r="C22" s="12"/>
      <c r="D22" s="12"/>
    </row>
    <row r="23" ht="15.75" customHeight="1">
      <c r="C23" s="12"/>
      <c r="D23" s="12"/>
    </row>
    <row r="24" ht="15.75" customHeight="1">
      <c r="C24" s="12"/>
      <c r="D24" s="12"/>
    </row>
    <row r="25" ht="15.75" customHeight="1">
      <c r="C25" s="12"/>
      <c r="D25" s="12"/>
    </row>
    <row r="26" ht="15.75" customHeight="1">
      <c r="C26" s="12"/>
      <c r="D26" s="12"/>
    </row>
    <row r="27" ht="15.75" customHeight="1">
      <c r="C27" s="12"/>
      <c r="D27" s="12"/>
    </row>
    <row r="28" ht="15.75" customHeight="1">
      <c r="C28" s="12"/>
      <c r="D28" s="12"/>
    </row>
    <row r="29" ht="15.75" customHeight="1">
      <c r="C29" s="12"/>
      <c r="D29" s="12"/>
    </row>
    <row r="30" ht="15.75" customHeight="1">
      <c r="C30" s="12"/>
      <c r="D30" s="12"/>
    </row>
    <row r="31" ht="15.75" customHeight="1">
      <c r="C31" s="12"/>
      <c r="D31" s="12"/>
    </row>
    <row r="32" ht="15.75" customHeight="1">
      <c r="C32" s="12"/>
      <c r="D32" s="12"/>
    </row>
    <row r="33" ht="15.75" customHeight="1">
      <c r="C33" s="12"/>
      <c r="D33" s="12"/>
    </row>
    <row r="34" ht="15.75" customHeight="1">
      <c r="C34" s="12"/>
      <c r="D34" s="12"/>
    </row>
    <row r="35" ht="15.75" customHeight="1">
      <c r="C35" s="12"/>
      <c r="D35" s="12"/>
    </row>
    <row r="36" ht="15.75" customHeight="1">
      <c r="C36" s="12"/>
      <c r="D36" s="12"/>
    </row>
    <row r="37" ht="15.75" customHeight="1">
      <c r="C37" s="12"/>
      <c r="D37" s="12"/>
    </row>
    <row r="38" ht="15.75" customHeight="1">
      <c r="C38" s="12"/>
      <c r="D38" s="12"/>
    </row>
    <row r="39" ht="15.75" customHeight="1">
      <c r="C39" s="12"/>
      <c r="D39" s="12"/>
    </row>
    <row r="40" ht="15.75" customHeight="1">
      <c r="C40" s="12"/>
      <c r="D40" s="12"/>
    </row>
    <row r="41" ht="15.75" customHeight="1">
      <c r="C41" s="12"/>
      <c r="D41" s="12"/>
    </row>
    <row r="42" ht="15.75" customHeight="1">
      <c r="C42" s="12"/>
      <c r="D42" s="12"/>
    </row>
    <row r="43" ht="15.75" customHeight="1">
      <c r="C43" s="12"/>
      <c r="D43" s="12"/>
    </row>
    <row r="44" ht="15.75" customHeight="1">
      <c r="C44" s="12"/>
      <c r="D44" s="12"/>
    </row>
    <row r="45" ht="15.75" customHeight="1">
      <c r="C45" s="12"/>
      <c r="D45" s="12"/>
    </row>
    <row r="46" ht="15.75" customHeight="1">
      <c r="C46" s="12"/>
      <c r="D46" s="12"/>
    </row>
    <row r="47" ht="15.75" customHeight="1">
      <c r="C47" s="12"/>
      <c r="D47" s="12"/>
    </row>
    <row r="48" ht="15.75" customHeight="1">
      <c r="C48" s="12"/>
      <c r="D48" s="12"/>
    </row>
    <row r="49" ht="15.75" customHeight="1">
      <c r="C49" s="12"/>
      <c r="D49" s="12"/>
    </row>
    <row r="50" ht="15.75" customHeight="1">
      <c r="C50" s="12"/>
      <c r="D50" s="12"/>
    </row>
    <row r="51" ht="15.75" customHeight="1">
      <c r="C51" s="12"/>
      <c r="D51" s="12"/>
    </row>
    <row r="52" ht="15.75" customHeight="1">
      <c r="C52" s="12"/>
      <c r="D52" s="12"/>
    </row>
    <row r="53" ht="15.75" customHeight="1">
      <c r="C53" s="12"/>
      <c r="D53" s="12"/>
    </row>
    <row r="54" ht="15.75" customHeight="1">
      <c r="C54" s="12"/>
      <c r="D54" s="12"/>
    </row>
    <row r="55" ht="15.75" customHeight="1">
      <c r="C55" s="12"/>
      <c r="D55" s="12"/>
    </row>
    <row r="56" ht="15.75" customHeight="1">
      <c r="C56" s="12"/>
      <c r="D56" s="12"/>
    </row>
    <row r="57" ht="15.75" customHeight="1">
      <c r="C57" s="12"/>
      <c r="D57" s="12"/>
    </row>
    <row r="58" ht="15.75" customHeight="1">
      <c r="C58" s="12"/>
      <c r="D58" s="12"/>
    </row>
    <row r="59" ht="15.75" customHeight="1">
      <c r="C59" s="12"/>
      <c r="D59" s="12"/>
    </row>
    <row r="60" ht="15.75" customHeight="1">
      <c r="C60" s="12"/>
      <c r="D60" s="12"/>
    </row>
    <row r="61" ht="15.75" customHeight="1">
      <c r="C61" s="12"/>
      <c r="D61" s="12"/>
    </row>
    <row r="62" ht="15.75" customHeight="1">
      <c r="C62" s="12"/>
      <c r="D62" s="12"/>
    </row>
    <row r="63" ht="15.75" customHeight="1">
      <c r="C63" s="12"/>
      <c r="D63" s="12"/>
    </row>
    <row r="64" ht="15.75" customHeight="1">
      <c r="C64" s="12"/>
      <c r="D64" s="12"/>
    </row>
    <row r="65" ht="15.75" customHeight="1">
      <c r="C65" s="12"/>
      <c r="D65" s="12"/>
    </row>
    <row r="66" ht="15.75" customHeight="1">
      <c r="C66" s="12"/>
      <c r="D66" s="12"/>
    </row>
    <row r="67" ht="15.75" customHeight="1">
      <c r="C67" s="12"/>
      <c r="D67" s="12"/>
    </row>
    <row r="68" ht="15.75" customHeight="1">
      <c r="C68" s="12"/>
      <c r="D68" s="12"/>
    </row>
    <row r="69" ht="15.75" customHeight="1">
      <c r="C69" s="12"/>
      <c r="D69" s="12"/>
    </row>
    <row r="70" ht="15.75" customHeight="1">
      <c r="C70" s="12"/>
      <c r="D70" s="12"/>
    </row>
    <row r="71" ht="15.75" customHeight="1">
      <c r="C71" s="12"/>
      <c r="D71" s="12"/>
    </row>
    <row r="72" ht="15.75" customHeight="1">
      <c r="C72" s="12"/>
      <c r="D72" s="12"/>
    </row>
    <row r="73" ht="15.75" customHeight="1">
      <c r="C73" s="12"/>
      <c r="D73" s="12"/>
    </row>
    <row r="74" ht="15.75" customHeight="1">
      <c r="C74" s="12"/>
      <c r="D74" s="12"/>
    </row>
    <row r="75" ht="15.75" customHeight="1">
      <c r="C75" s="12"/>
      <c r="D75" s="12"/>
    </row>
    <row r="76" ht="15.75" customHeight="1">
      <c r="C76" s="12"/>
      <c r="D76" s="12"/>
    </row>
    <row r="77" ht="15.75" customHeight="1">
      <c r="C77" s="12"/>
      <c r="D77" s="12"/>
    </row>
    <row r="78" ht="15.75" customHeight="1">
      <c r="C78" s="12"/>
      <c r="D78" s="12"/>
    </row>
    <row r="79" ht="15.75" customHeight="1">
      <c r="C79" s="12"/>
      <c r="D79" s="12"/>
    </row>
    <row r="80" ht="15.75" customHeight="1">
      <c r="C80" s="12"/>
      <c r="D80" s="12"/>
    </row>
    <row r="81" ht="15.75" customHeight="1">
      <c r="C81" s="12"/>
      <c r="D81" s="12"/>
    </row>
    <row r="82" ht="15.75" customHeight="1">
      <c r="C82" s="12"/>
      <c r="D82" s="12"/>
    </row>
    <row r="83" ht="15.75" customHeight="1">
      <c r="C83" s="12"/>
      <c r="D83" s="12"/>
    </row>
    <row r="84" ht="15.75" customHeight="1">
      <c r="C84" s="12"/>
      <c r="D84" s="12"/>
    </row>
    <row r="85" ht="15.75" customHeight="1">
      <c r="C85" s="12"/>
      <c r="D85" s="12"/>
    </row>
    <row r="86" ht="15.75" customHeight="1">
      <c r="C86" s="12"/>
      <c r="D86" s="12"/>
    </row>
    <row r="87" ht="15.75" customHeight="1">
      <c r="C87" s="12"/>
      <c r="D87" s="12"/>
    </row>
    <row r="88" ht="15.75" customHeight="1">
      <c r="C88" s="12"/>
      <c r="D88" s="12"/>
    </row>
    <row r="89" ht="15.75" customHeight="1">
      <c r="C89" s="12"/>
      <c r="D89" s="12"/>
    </row>
    <row r="90" ht="15.75" customHeight="1">
      <c r="C90" s="12"/>
      <c r="D90" s="12"/>
    </row>
    <row r="91" ht="15.75" customHeight="1">
      <c r="C91" s="12"/>
      <c r="D91" s="12"/>
    </row>
    <row r="92" ht="15.75" customHeight="1">
      <c r="C92" s="12"/>
      <c r="D92" s="12"/>
    </row>
    <row r="93" ht="15.75" customHeight="1">
      <c r="C93" s="12"/>
      <c r="D93" s="12"/>
    </row>
    <row r="94" ht="15.75" customHeight="1">
      <c r="C94" s="12"/>
      <c r="D94" s="12"/>
    </row>
    <row r="95" ht="15.75" customHeight="1">
      <c r="C95" s="12"/>
      <c r="D95" s="12"/>
    </row>
    <row r="96" ht="15.75" customHeight="1">
      <c r="C96" s="12"/>
      <c r="D96" s="12"/>
    </row>
    <row r="97" ht="15.75" customHeight="1">
      <c r="C97" s="12"/>
      <c r="D97" s="12"/>
    </row>
    <row r="98" ht="15.75" customHeight="1">
      <c r="C98" s="12"/>
      <c r="D98" s="12"/>
    </row>
    <row r="99" ht="15.75" customHeight="1">
      <c r="C99" s="12"/>
      <c r="D99" s="12"/>
    </row>
    <row r="100" ht="15.75" customHeight="1">
      <c r="C100" s="12"/>
      <c r="D100" s="12"/>
    </row>
    <row r="101" ht="15.75" customHeight="1">
      <c r="C101" s="12"/>
      <c r="D101" s="12"/>
    </row>
    <row r="102" ht="15.75" customHeight="1">
      <c r="C102" s="12"/>
      <c r="D102" s="12"/>
    </row>
    <row r="103" ht="15.75" customHeight="1">
      <c r="C103" s="12"/>
      <c r="D103" s="12"/>
    </row>
    <row r="104" ht="15.75" customHeight="1">
      <c r="C104" s="12"/>
      <c r="D104" s="12"/>
    </row>
    <row r="105" ht="15.75" customHeight="1">
      <c r="C105" s="12"/>
      <c r="D105" s="12"/>
    </row>
    <row r="106" ht="15.75" customHeight="1">
      <c r="C106" s="12"/>
      <c r="D106" s="12"/>
    </row>
    <row r="107" ht="15.75" customHeight="1">
      <c r="C107" s="12"/>
      <c r="D107" s="12"/>
    </row>
    <row r="108" ht="15.75" customHeight="1">
      <c r="C108" s="12"/>
      <c r="D108" s="12"/>
    </row>
    <row r="109" ht="15.75" customHeight="1">
      <c r="C109" s="12"/>
      <c r="D109" s="12"/>
    </row>
    <row r="110" ht="15.75" customHeight="1">
      <c r="C110" s="12"/>
      <c r="D110" s="12"/>
    </row>
    <row r="111" ht="15.75" customHeight="1">
      <c r="C111" s="12"/>
      <c r="D111" s="12"/>
    </row>
    <row r="112" ht="15.75" customHeight="1">
      <c r="C112" s="12"/>
      <c r="D112" s="12"/>
    </row>
    <row r="113" ht="15.75" customHeight="1">
      <c r="C113" s="12"/>
      <c r="D113" s="12"/>
    </row>
    <row r="114" ht="15.75" customHeight="1">
      <c r="C114" s="12"/>
      <c r="D114" s="12"/>
    </row>
    <row r="115" ht="15.75" customHeight="1">
      <c r="C115" s="12"/>
      <c r="D115" s="12"/>
    </row>
    <row r="116" ht="15.75" customHeight="1">
      <c r="C116" s="12"/>
      <c r="D116" s="12"/>
    </row>
    <row r="117" ht="15.75" customHeight="1">
      <c r="C117" s="12"/>
      <c r="D117" s="12"/>
    </row>
    <row r="118" ht="15.75" customHeight="1">
      <c r="C118" s="12"/>
      <c r="D118" s="12"/>
    </row>
    <row r="119" ht="15.75" customHeight="1">
      <c r="C119" s="12"/>
      <c r="D119" s="12"/>
    </row>
    <row r="120" ht="15.75" customHeight="1">
      <c r="C120" s="12"/>
      <c r="D120" s="12"/>
    </row>
    <row r="121" ht="15.75" customHeight="1">
      <c r="C121" s="12"/>
      <c r="D121" s="12"/>
    </row>
    <row r="122" ht="15.75" customHeight="1">
      <c r="C122" s="12"/>
      <c r="D122" s="12"/>
    </row>
    <row r="123" ht="15.75" customHeight="1">
      <c r="C123" s="12"/>
      <c r="D123" s="12"/>
    </row>
    <row r="124" ht="15.75" customHeight="1">
      <c r="C124" s="12"/>
      <c r="D124" s="12"/>
    </row>
    <row r="125" ht="15.75" customHeight="1">
      <c r="C125" s="12"/>
      <c r="D125" s="12"/>
    </row>
    <row r="126" ht="15.75" customHeight="1">
      <c r="C126" s="12"/>
      <c r="D126" s="12"/>
    </row>
    <row r="127" ht="15.75" customHeight="1">
      <c r="C127" s="12"/>
      <c r="D127" s="12"/>
    </row>
    <row r="128" ht="15.75" customHeight="1">
      <c r="C128" s="12"/>
      <c r="D128" s="12"/>
    </row>
    <row r="129" ht="15.75" customHeight="1">
      <c r="C129" s="12"/>
      <c r="D129" s="12"/>
    </row>
    <row r="130" ht="15.75" customHeight="1">
      <c r="C130" s="12"/>
      <c r="D130" s="12"/>
    </row>
    <row r="131" ht="15.75" customHeight="1">
      <c r="C131" s="12"/>
      <c r="D131" s="12"/>
    </row>
    <row r="132" ht="15.75" customHeight="1">
      <c r="C132" s="12"/>
      <c r="D132" s="12"/>
    </row>
    <row r="133" ht="15.75" customHeight="1">
      <c r="C133" s="12"/>
      <c r="D133" s="12"/>
    </row>
    <row r="134" ht="15.75" customHeight="1">
      <c r="C134" s="12"/>
      <c r="D134" s="12"/>
    </row>
    <row r="135" ht="15.75" customHeight="1">
      <c r="C135" s="12"/>
      <c r="D135" s="12"/>
    </row>
    <row r="136" ht="15.75" customHeight="1">
      <c r="C136" s="12"/>
      <c r="D136" s="12"/>
    </row>
    <row r="137" ht="15.75" customHeight="1">
      <c r="C137" s="12"/>
      <c r="D137" s="12"/>
    </row>
    <row r="138" ht="15.75" customHeight="1">
      <c r="C138" s="12"/>
      <c r="D138" s="12"/>
    </row>
    <row r="139" ht="15.75" customHeight="1">
      <c r="C139" s="12"/>
      <c r="D139" s="12"/>
    </row>
    <row r="140" ht="15.75" customHeight="1">
      <c r="C140" s="12"/>
      <c r="D140" s="12"/>
    </row>
    <row r="141" ht="15.75" customHeight="1">
      <c r="C141" s="12"/>
      <c r="D141" s="12"/>
    </row>
    <row r="142" ht="15.75" customHeight="1">
      <c r="C142" s="12"/>
      <c r="D142" s="12"/>
    </row>
    <row r="143" ht="15.75" customHeight="1">
      <c r="C143" s="12"/>
      <c r="D143" s="12"/>
    </row>
    <row r="144" ht="15.75" customHeight="1">
      <c r="C144" s="12"/>
      <c r="D144" s="12"/>
    </row>
    <row r="145" ht="15.75" customHeight="1">
      <c r="C145" s="12"/>
      <c r="D145" s="12"/>
    </row>
    <row r="146" ht="15.75" customHeight="1">
      <c r="C146" s="12"/>
      <c r="D146" s="12"/>
    </row>
    <row r="147" ht="15.75" customHeight="1">
      <c r="C147" s="12"/>
      <c r="D147" s="12"/>
    </row>
    <row r="148" ht="15.75" customHeight="1">
      <c r="C148" s="12"/>
      <c r="D148" s="12"/>
    </row>
    <row r="149" ht="15.75" customHeight="1">
      <c r="C149" s="12"/>
      <c r="D149" s="12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headerFooter>
    <oddHeader>&amp;CFF0000 INTERNO#_x000D_</oddHeader>
    <oddFooter>&amp;C_x000D_#FF0000 INTERNO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5.29"/>
    <col customWidth="1" min="3" max="3" width="14.14"/>
    <col customWidth="1" min="4" max="5" width="11.0"/>
    <col customWidth="1" min="6" max="6" width="12.43"/>
    <col customWidth="1" min="7" max="10" width="12.0"/>
    <col customWidth="1" min="11" max="11" width="11.0"/>
    <col customWidth="1" min="12" max="15" width="10.0"/>
    <col customWidth="1" min="16" max="16" width="14.29"/>
    <col customWidth="1" min="17" max="19" width="9.14"/>
    <col customWidth="1" min="20" max="20" width="12.0"/>
    <col customWidth="1" min="21" max="23" width="9.14"/>
    <col customWidth="1" min="24" max="25" width="11.0"/>
    <col customWidth="1" min="26" max="28" width="9.14"/>
  </cols>
  <sheetData>
    <row r="1" ht="13.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3.5" customHeight="1">
      <c r="A2" s="12"/>
      <c r="B2" s="51" t="s">
        <v>522</v>
      </c>
      <c r="C2" s="12"/>
      <c r="D2" s="12"/>
      <c r="E2" s="12"/>
      <c r="F2" s="5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 t="s">
        <v>523</v>
      </c>
      <c r="T2" s="53" t="str">
        <f t="shared" ref="T2:T3" si="1">C7</f>
        <v>#REF!</v>
      </c>
      <c r="U2" s="12" t="str">
        <f>G6</f>
        <v>Abr</v>
      </c>
      <c r="V2" s="12"/>
      <c r="W2" s="12"/>
      <c r="X2" s="12" t="s">
        <v>524</v>
      </c>
      <c r="Y2" s="30" t="str">
        <f>SUM(D7:G7)</f>
        <v>#REF!</v>
      </c>
      <c r="Z2" s="12"/>
      <c r="AA2" s="12"/>
      <c r="AB2" s="12"/>
    </row>
    <row r="3" ht="13.5" customHeight="1">
      <c r="A3" s="12"/>
      <c r="P3" s="12"/>
      <c r="Q3" s="12"/>
      <c r="R3" s="12"/>
      <c r="S3" s="12" t="s">
        <v>525</v>
      </c>
      <c r="T3" s="53">
        <f t="shared" si="1"/>
        <v>869205.485</v>
      </c>
      <c r="U3" s="12"/>
      <c r="V3" s="12"/>
      <c r="W3" s="12"/>
      <c r="X3" s="12" t="s">
        <v>525</v>
      </c>
      <c r="Y3" s="30">
        <f>C8</f>
        <v>869205.485</v>
      </c>
      <c r="Z3" s="12"/>
      <c r="AA3" s="12"/>
      <c r="AB3" s="12"/>
    </row>
    <row r="4" ht="13.5" customHeight="1">
      <c r="A4" s="12"/>
      <c r="B4" s="12"/>
      <c r="C4" s="12"/>
      <c r="D4" s="54" t="s">
        <v>526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6"/>
      <c r="P4" s="12"/>
      <c r="Q4" s="12"/>
      <c r="R4" s="12"/>
      <c r="S4" s="12" t="s">
        <v>527</v>
      </c>
      <c r="T4" s="57" t="str">
        <f>T3/T2</f>
        <v>#REF!</v>
      </c>
      <c r="U4" s="12"/>
      <c r="V4" s="12"/>
      <c r="W4" s="12"/>
      <c r="X4" s="12" t="s">
        <v>527</v>
      </c>
      <c r="Y4" s="57" t="str">
        <f>Y3/Y2</f>
        <v>#REF!</v>
      </c>
      <c r="Z4" s="12"/>
      <c r="AA4" s="12"/>
      <c r="AB4" s="12"/>
    </row>
    <row r="5" ht="13.5" customHeight="1">
      <c r="A5" s="12"/>
      <c r="B5" s="12"/>
      <c r="C5" s="12"/>
      <c r="D5" s="58">
        <v>0.0</v>
      </c>
      <c r="E5" s="59">
        <v>0.0</v>
      </c>
      <c r="F5" s="59">
        <v>0.0</v>
      </c>
      <c r="G5" s="59">
        <v>0.2</v>
      </c>
      <c r="H5" s="59">
        <v>0.4</v>
      </c>
      <c r="I5" s="59">
        <v>0.4</v>
      </c>
      <c r="J5" s="59"/>
      <c r="K5" s="59"/>
      <c r="L5" s="60"/>
      <c r="M5" s="60"/>
      <c r="N5" s="60"/>
      <c r="O5" s="61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3.5" customHeight="1">
      <c r="A6" s="12"/>
      <c r="B6" s="62" t="s">
        <v>528</v>
      </c>
      <c r="C6" s="62" t="s">
        <v>523</v>
      </c>
      <c r="D6" s="63" t="s">
        <v>529</v>
      </c>
      <c r="E6" s="62" t="s">
        <v>530</v>
      </c>
      <c r="F6" s="62" t="s">
        <v>531</v>
      </c>
      <c r="G6" s="62" t="s">
        <v>532</v>
      </c>
      <c r="H6" s="62" t="s">
        <v>533</v>
      </c>
      <c r="I6" s="62" t="s">
        <v>534</v>
      </c>
      <c r="J6" s="62" t="s">
        <v>535</v>
      </c>
      <c r="K6" s="62" t="s">
        <v>536</v>
      </c>
      <c r="L6" s="62" t="s">
        <v>537</v>
      </c>
      <c r="M6" s="62" t="s">
        <v>538</v>
      </c>
      <c r="N6" s="62" t="s">
        <v>539</v>
      </c>
      <c r="O6" s="64" t="s">
        <v>540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3.5" customHeight="1">
      <c r="A7" s="12"/>
      <c r="B7" s="65" t="s">
        <v>524</v>
      </c>
      <c r="C7" s="66" t="str">
        <f>#REF!-C23</f>
        <v>#REF!</v>
      </c>
      <c r="D7" s="67" t="str">
        <f t="shared" ref="D7:I7" si="2">$C$7*D5</f>
        <v>#REF!</v>
      </c>
      <c r="E7" s="68" t="str">
        <f t="shared" si="2"/>
        <v>#REF!</v>
      </c>
      <c r="F7" s="68" t="str">
        <f t="shared" si="2"/>
        <v>#REF!</v>
      </c>
      <c r="G7" s="68" t="str">
        <f t="shared" si="2"/>
        <v>#REF!</v>
      </c>
      <c r="H7" s="68" t="str">
        <f t="shared" si="2"/>
        <v>#REF!</v>
      </c>
      <c r="I7" s="68" t="str">
        <f t="shared" si="2"/>
        <v>#REF!</v>
      </c>
      <c r="J7" s="68"/>
      <c r="K7" s="68"/>
      <c r="L7" s="69"/>
      <c r="M7" s="69"/>
      <c r="N7" s="69"/>
      <c r="O7" s="70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3.5" customHeight="1">
      <c r="A8" s="12"/>
      <c r="B8" s="12" t="s">
        <v>541</v>
      </c>
      <c r="C8" s="30">
        <f>SUM(D8:G8)</f>
        <v>869205.485</v>
      </c>
      <c r="D8" s="71">
        <f>SUMIFS('Equalização'!$W:$W,'Equalização'!$AH:$AH,"finalizado",'Equalização'!$GB:$GB,D6)</f>
        <v>0</v>
      </c>
      <c r="E8" s="72">
        <f>SUMIFS('Equalização'!$W:$W,'Equalização'!$AH:$AH,"finalizado",'Equalização'!$GB:$GB,E6)</f>
        <v>0</v>
      </c>
      <c r="F8" s="72">
        <f>SUMIFS('Equalização'!$W:$W,'Equalização'!$AH:$AH,"finalizado",'Equalização'!$GB:$GB,F6)</f>
        <v>0</v>
      </c>
      <c r="G8" s="72">
        <f>SUMIFS('Equalização'!$W:$W,'Equalização'!$AH:$AH,"finalizado",'Equalização'!$GB:$GB,H6)</f>
        <v>869205.485</v>
      </c>
      <c r="H8" s="73" t="str">
        <f>SUM(D7:G7)-SUM(D8:G8)+H7</f>
        <v>#REF!</v>
      </c>
      <c r="I8" s="73" t="str">
        <f>I7</f>
        <v>#REF!</v>
      </c>
      <c r="J8" s="30"/>
      <c r="K8" s="30"/>
      <c r="L8" s="30"/>
      <c r="M8" s="30"/>
      <c r="N8" s="30"/>
      <c r="O8" s="7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3.5" customHeight="1">
      <c r="A9" s="12"/>
      <c r="B9" s="12" t="s">
        <v>542</v>
      </c>
      <c r="C9" s="30"/>
      <c r="D9" s="75" t="str">
        <f t="shared" ref="D9:I9" si="3">IFERROR(D8/D7,"")</f>
        <v/>
      </c>
      <c r="E9" s="75" t="str">
        <f t="shared" si="3"/>
        <v/>
      </c>
      <c r="F9" s="75" t="str">
        <f t="shared" si="3"/>
        <v/>
      </c>
      <c r="G9" s="75" t="str">
        <f t="shared" si="3"/>
        <v/>
      </c>
      <c r="H9" s="75" t="str">
        <f t="shared" si="3"/>
        <v/>
      </c>
      <c r="I9" s="75" t="str">
        <f t="shared" si="3"/>
        <v/>
      </c>
      <c r="J9" s="30"/>
      <c r="K9" s="30"/>
      <c r="L9" s="30"/>
      <c r="M9" s="30"/>
      <c r="N9" s="30"/>
      <c r="O9" s="7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3.5" customHeight="1">
      <c r="A10" s="12"/>
      <c r="B10" s="76" t="s">
        <v>543</v>
      </c>
      <c r="C10" s="77" t="str">
        <f>SUM(D10:G10)</f>
        <v>#REF!</v>
      </c>
      <c r="D10" s="78" t="str">
        <f t="shared" ref="D10:I10" si="4">D8/$C$7</f>
        <v>#REF!</v>
      </c>
      <c r="E10" s="78" t="str">
        <f t="shared" si="4"/>
        <v>#REF!</v>
      </c>
      <c r="F10" s="78" t="str">
        <f t="shared" si="4"/>
        <v>#REF!</v>
      </c>
      <c r="G10" s="78" t="str">
        <f t="shared" si="4"/>
        <v>#REF!</v>
      </c>
      <c r="H10" s="78" t="str">
        <f t="shared" si="4"/>
        <v>#REF!</v>
      </c>
      <c r="I10" s="78" t="str">
        <f t="shared" si="4"/>
        <v>#REF!</v>
      </c>
      <c r="J10" s="78"/>
      <c r="K10" s="78"/>
      <c r="L10" s="76"/>
      <c r="M10" s="76"/>
      <c r="N10" s="76"/>
      <c r="O10" s="79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3.5" customHeight="1">
      <c r="A11" s="12"/>
      <c r="B11" s="12" t="s">
        <v>544</v>
      </c>
      <c r="C11" s="30">
        <f>SKUs!C1-D23</f>
        <v>2422</v>
      </c>
      <c r="D11" s="80">
        <f>COUNTIF('ITENS NEGOCIADOS'!$C:$C,CRONOGRAMA!D6)</f>
        <v>0</v>
      </c>
      <c r="E11" s="81">
        <f>COUNTIF('ITENS NEGOCIADOS'!$C:$C,CRONOGRAMA!E6)</f>
        <v>0</v>
      </c>
      <c r="F11" s="81">
        <f>COUNTIF('ITENS NEGOCIADOS'!$C:$C,CRONOGRAMA!F6)</f>
        <v>0</v>
      </c>
      <c r="G11" s="81">
        <f>COUNTIF('ITENS NEGOCIADOS'!$C:$C,H6)</f>
        <v>1</v>
      </c>
      <c r="H11" s="73">
        <f>$C$11*H5+((SUM(D11:G11)*20%/0.2835%)-SUM(D11:G11))</f>
        <v>1038.346737</v>
      </c>
      <c r="I11" s="73">
        <f>C11*I5</f>
        <v>968.8</v>
      </c>
      <c r="J11" s="30"/>
      <c r="K11" s="30"/>
      <c r="L11" s="12"/>
      <c r="M11" s="12"/>
      <c r="N11" s="12"/>
      <c r="O11" s="8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3.5" customHeight="1">
      <c r="A12" s="12"/>
      <c r="B12" s="83" t="s">
        <v>543</v>
      </c>
      <c r="C12" s="84">
        <f>SUM(D12:G12)</f>
        <v>0.0004128819158</v>
      </c>
      <c r="D12" s="85">
        <f t="shared" ref="D12:I12" si="5">D11/$C$11</f>
        <v>0</v>
      </c>
      <c r="E12" s="85">
        <f t="shared" si="5"/>
        <v>0</v>
      </c>
      <c r="F12" s="85">
        <f t="shared" si="5"/>
        <v>0</v>
      </c>
      <c r="G12" s="85">
        <f t="shared" si="5"/>
        <v>0.0004128819158</v>
      </c>
      <c r="H12" s="85">
        <f t="shared" si="5"/>
        <v>0.4287145901</v>
      </c>
      <c r="I12" s="85">
        <f t="shared" si="5"/>
        <v>0.4</v>
      </c>
      <c r="J12" s="85"/>
      <c r="K12" s="85"/>
      <c r="L12" s="83"/>
      <c r="M12" s="83"/>
      <c r="N12" s="83"/>
      <c r="O12" s="86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3.5" customHeight="1">
      <c r="A13" s="12"/>
      <c r="B13" s="12"/>
      <c r="C13" s="12"/>
      <c r="D13" s="12"/>
      <c r="E13" s="12"/>
      <c r="F13" s="12"/>
      <c r="G13" s="12"/>
      <c r="H13" s="30"/>
      <c r="I13" s="30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3.5" customHeight="1">
      <c r="A14" s="12"/>
      <c r="B14" s="44" t="s">
        <v>545</v>
      </c>
      <c r="C14" s="12"/>
      <c r="D14" s="12"/>
      <c r="E14" s="12"/>
      <c r="F14" s="12"/>
      <c r="G14" s="12"/>
      <c r="H14" s="30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3.5" customHeight="1">
      <c r="A15" s="12"/>
      <c r="B15" s="71"/>
      <c r="C15" s="12" t="s">
        <v>546</v>
      </c>
      <c r="D15" s="12"/>
      <c r="E15" s="12"/>
      <c r="F15" s="12"/>
      <c r="G15" s="57"/>
      <c r="H15" s="30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3.5" customHeight="1">
      <c r="A16" s="12"/>
      <c r="B16" s="73"/>
      <c r="C16" s="12" t="s">
        <v>547</v>
      </c>
      <c r="D16" s="12"/>
      <c r="E16" s="12"/>
      <c r="F16" s="12"/>
      <c r="G16" s="57"/>
      <c r="H16" s="30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3.5" customHeight="1">
      <c r="A17" s="12"/>
      <c r="B17" s="12"/>
      <c r="C17" s="12"/>
      <c r="D17" s="12"/>
      <c r="E17" s="12"/>
      <c r="F17" s="12"/>
      <c r="G17" s="12"/>
      <c r="H17" s="30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3.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3.5" customHeight="1">
      <c r="A19" s="12"/>
      <c r="B19" s="44" t="s">
        <v>548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3.5" customHeight="1">
      <c r="A20" s="12"/>
      <c r="B20" s="44"/>
      <c r="C20" s="12" t="s">
        <v>523</v>
      </c>
      <c r="D20" s="12" t="s">
        <v>549</v>
      </c>
      <c r="E20" s="12"/>
      <c r="F20" s="12" t="s">
        <v>550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3.5" customHeight="1">
      <c r="A21" s="87" t="s">
        <v>144</v>
      </c>
      <c r="B21" s="12" t="s">
        <v>551</v>
      </c>
      <c r="C21" s="30">
        <f>SUMIF('Equalização'!J:J,CRONOGRAMA!A21,'Equalização'!W:W)</f>
        <v>0</v>
      </c>
      <c r="D21" s="12">
        <f>COUNTIF(SKUs!D:D,CRONOGRAMA!A21)</f>
        <v>0</v>
      </c>
      <c r="E21" s="12"/>
      <c r="F21" s="30">
        <f>SUMIF('Equalização'!J:J,CRONOGRAMA!A21,'Equalização'!AF:AF)</f>
        <v>0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3.5" customHeight="1">
      <c r="A22" s="87" t="s">
        <v>145</v>
      </c>
      <c r="B22" s="12" t="s">
        <v>552</v>
      </c>
      <c r="C22" s="30">
        <f>SUMIF('Equalização'!J:J,CRONOGRAMA!A22,'Equalização'!W:W)</f>
        <v>0</v>
      </c>
      <c r="D22" s="12">
        <f>COUNTIF(SKUs!D:D,CRONOGRAMA!A22)</f>
        <v>0</v>
      </c>
      <c r="E22" s="12"/>
      <c r="F22" s="30">
        <f>SUMIF('Equalização'!J:J,CRONOGRAMA!A22,'Equalização'!AF:AF)</f>
        <v>0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ht="13.5" customHeight="1">
      <c r="A23" s="12"/>
      <c r="B23" s="88" t="s">
        <v>553</v>
      </c>
      <c r="C23" s="89">
        <f t="shared" ref="C23:D23" si="6">SUM(C21:C22)</f>
        <v>0</v>
      </c>
      <c r="D23" s="89">
        <f t="shared" si="6"/>
        <v>0</v>
      </c>
      <c r="E23" s="89"/>
      <c r="F23" s="89">
        <f>SUM(F21:F22)</f>
        <v>0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ht="13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ht="13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ht="13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ht="13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ht="13.5" customHeight="1">
      <c r="A28" s="12"/>
      <c r="B28" s="51" t="s">
        <v>554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 t="s">
        <v>555</v>
      </c>
      <c r="T28" s="53" t="str">
        <f t="shared" ref="T28:T29" si="7">C33</f>
        <v>#REF!</v>
      </c>
      <c r="U28" s="12" t="str">
        <f>G32</f>
        <v>Abr</v>
      </c>
      <c r="V28" s="12"/>
      <c r="W28" s="12"/>
      <c r="X28" s="12" t="s">
        <v>524</v>
      </c>
      <c r="Y28" s="30" t="str">
        <f>SUM(D33:G33)</f>
        <v>#REF!</v>
      </c>
      <c r="Z28" s="12"/>
      <c r="AA28" s="12"/>
      <c r="AB28" s="12"/>
    </row>
    <row r="29" ht="13.5" customHeight="1">
      <c r="A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 t="s">
        <v>525</v>
      </c>
      <c r="T29" s="53">
        <f t="shared" si="7"/>
        <v>-990366.432</v>
      </c>
      <c r="U29" s="12"/>
      <c r="V29" s="12"/>
      <c r="W29" s="12"/>
      <c r="X29" s="12" t="s">
        <v>525</v>
      </c>
      <c r="Y29" s="30">
        <f>C34</f>
        <v>-990366.432</v>
      </c>
      <c r="Z29" s="12"/>
      <c r="AA29" s="12"/>
      <c r="AB29" s="12"/>
    </row>
    <row r="30" ht="13.5" customHeight="1">
      <c r="A30" s="12"/>
      <c r="B30" s="12"/>
      <c r="C30" s="12"/>
      <c r="D30" s="54" t="s">
        <v>556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6"/>
      <c r="Q30" s="12"/>
      <c r="R30" s="12"/>
      <c r="S30" s="12" t="s">
        <v>527</v>
      </c>
      <c r="T30" s="57" t="str">
        <f>T29/T28</f>
        <v>#REF!</v>
      </c>
      <c r="U30" s="12"/>
      <c r="V30" s="12"/>
      <c r="W30" s="12"/>
      <c r="X30" s="12" t="s">
        <v>527</v>
      </c>
      <c r="Y30" s="57" t="str">
        <f>Y29/Y28</f>
        <v>#REF!</v>
      </c>
      <c r="Z30" s="12"/>
      <c r="AA30" s="12"/>
      <c r="AB30" s="12"/>
    </row>
    <row r="31" ht="13.5" customHeight="1">
      <c r="A31" s="12"/>
      <c r="B31" s="12"/>
      <c r="C31" s="12"/>
      <c r="D31" s="58">
        <v>0.05</v>
      </c>
      <c r="E31" s="59">
        <v>0.05</v>
      </c>
      <c r="F31" s="59">
        <v>0.05</v>
      </c>
      <c r="G31" s="59">
        <v>0.08333333333333333</v>
      </c>
      <c r="H31" s="59">
        <v>0.08333333333333333</v>
      </c>
      <c r="I31" s="59">
        <v>0.08333333333333333</v>
      </c>
      <c r="J31" s="59">
        <v>0.09999999999999999</v>
      </c>
      <c r="K31" s="59">
        <v>0.1</v>
      </c>
      <c r="L31" s="59">
        <v>0.1</v>
      </c>
      <c r="M31" s="59">
        <v>0.1</v>
      </c>
      <c r="N31" s="59">
        <v>0.1</v>
      </c>
      <c r="O31" s="90">
        <v>0.1</v>
      </c>
      <c r="P31" s="90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ht="13.5" customHeight="1">
      <c r="A32" s="12"/>
      <c r="B32" s="62" t="s">
        <v>528</v>
      </c>
      <c r="C32" s="62" t="s">
        <v>555</v>
      </c>
      <c r="D32" s="63" t="s">
        <v>529</v>
      </c>
      <c r="E32" s="62" t="s">
        <v>530</v>
      </c>
      <c r="F32" s="62" t="s">
        <v>531</v>
      </c>
      <c r="G32" s="62" t="s">
        <v>532</v>
      </c>
      <c r="H32" s="62" t="s">
        <v>533</v>
      </c>
      <c r="I32" s="62" t="s">
        <v>534</v>
      </c>
      <c r="J32" s="62" t="s">
        <v>535</v>
      </c>
      <c r="K32" s="62" t="s">
        <v>536</v>
      </c>
      <c r="L32" s="62" t="s">
        <v>537</v>
      </c>
      <c r="M32" s="62" t="s">
        <v>538</v>
      </c>
      <c r="N32" s="62" t="s">
        <v>539</v>
      </c>
      <c r="O32" s="64" t="s">
        <v>540</v>
      </c>
      <c r="P32" s="64" t="s">
        <v>557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ht="13.5" customHeight="1">
      <c r="A33" s="12"/>
      <c r="B33" s="65" t="s">
        <v>524</v>
      </c>
      <c r="C33" s="68" t="str">
        <f>#REF!-F23</f>
        <v>#REF!</v>
      </c>
      <c r="D33" s="67" t="str">
        <f t="shared" ref="D33:O33" si="8">$C$33*D31</f>
        <v>#REF!</v>
      </c>
      <c r="E33" s="68" t="str">
        <f t="shared" si="8"/>
        <v>#REF!</v>
      </c>
      <c r="F33" s="68" t="str">
        <f t="shared" si="8"/>
        <v>#REF!</v>
      </c>
      <c r="G33" s="68" t="str">
        <f t="shared" si="8"/>
        <v>#REF!</v>
      </c>
      <c r="H33" s="68" t="str">
        <f t="shared" si="8"/>
        <v>#REF!</v>
      </c>
      <c r="I33" s="68" t="str">
        <f t="shared" si="8"/>
        <v>#REF!</v>
      </c>
      <c r="J33" s="68" t="str">
        <f t="shared" si="8"/>
        <v>#REF!</v>
      </c>
      <c r="K33" s="68" t="str">
        <f t="shared" si="8"/>
        <v>#REF!</v>
      </c>
      <c r="L33" s="68" t="str">
        <f t="shared" si="8"/>
        <v>#REF!</v>
      </c>
      <c r="M33" s="68" t="str">
        <f t="shared" si="8"/>
        <v>#REF!</v>
      </c>
      <c r="N33" s="68" t="str">
        <f t="shared" si="8"/>
        <v>#REF!</v>
      </c>
      <c r="O33" s="68" t="str">
        <f t="shared" si="8"/>
        <v>#REF!</v>
      </c>
      <c r="P33" s="66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13.5" customHeight="1">
      <c r="A34" s="12"/>
      <c r="B34" s="12" t="s">
        <v>541</v>
      </c>
      <c r="C34" s="30">
        <f>SUM(D34:O34)</f>
        <v>-990366.432</v>
      </c>
      <c r="D34" s="71">
        <f>SUMIFS('Equalização'!GU:GU,'Equalização'!$AH:$AH,"finalizado")</f>
        <v>0</v>
      </c>
      <c r="E34" s="72">
        <f>SUMIFS('Equalização'!GV:GV,'Equalização'!$AH:$AH,"finalizado")</f>
        <v>0</v>
      </c>
      <c r="F34" s="72">
        <f>SUMIFS('Equalização'!GW:GW,'Equalização'!$AH:$AH,"finalizado")</f>
        <v>0</v>
      </c>
      <c r="G34" s="72">
        <f>SUMIFS('Equalização'!GX:GX,'Equalização'!$AH:$AH,"finalizado")</f>
        <v>0</v>
      </c>
      <c r="H34" s="72">
        <f>SUMIFS('Equalização'!GY:GY,'Equalização'!$AH:$AH,"finalizado")</f>
        <v>-23.79041582</v>
      </c>
      <c r="I34" s="72">
        <f>SUMIFS('Equalização'!GZ:GZ,'Equalização'!$AH:$AH,"finalizado")</f>
        <v>-141477.5202</v>
      </c>
      <c r="J34" s="72">
        <f>SUMIFS('Equalização'!HA:HA,'Equalização'!$AH:$AH,"finalizado")</f>
        <v>-141477.5202</v>
      </c>
      <c r="K34" s="72">
        <f>SUMIFS('Equalização'!HB:HB,'Equalização'!$AH:$AH,"finalizado")</f>
        <v>-141477.5202</v>
      </c>
      <c r="L34" s="72">
        <f>SUMIFS('Equalização'!HC:HC,'Equalização'!$AH:$AH,"finalizado")</f>
        <v>-141477.5202</v>
      </c>
      <c r="M34" s="72">
        <f>SUMIFS('Equalização'!HD:HD,'Equalização'!$AH:$AH,"finalizado")</f>
        <v>-141477.5202</v>
      </c>
      <c r="N34" s="72">
        <f>SUMIFS('Equalização'!HE:HE,'Equalização'!$AH:$AH,"finalizado")</f>
        <v>-141477.5202</v>
      </c>
      <c r="O34" s="72">
        <f>SUMIFS('Equalização'!HF:HF,'Equalização'!$AH:$AH,"finalizado")</f>
        <v>-141477.5202</v>
      </c>
      <c r="P34" s="91">
        <f>SUMIFS('Equalização'!HH:HH,'Equalização'!$AH:$AH,"finalizado")</f>
        <v>-707363.8107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ht="13.5" customHeight="1">
      <c r="A35" s="12"/>
      <c r="B35" s="12" t="s">
        <v>542</v>
      </c>
      <c r="C35" s="30"/>
      <c r="D35" s="75" t="str">
        <f t="shared" ref="D35:O35" si="9">D34/D33</f>
        <v>#REF!</v>
      </c>
      <c r="E35" s="75" t="str">
        <f t="shared" si="9"/>
        <v>#REF!</v>
      </c>
      <c r="F35" s="75" t="str">
        <f t="shared" si="9"/>
        <v>#REF!</v>
      </c>
      <c r="G35" s="75" t="str">
        <f t="shared" si="9"/>
        <v>#REF!</v>
      </c>
      <c r="H35" s="75" t="str">
        <f t="shared" si="9"/>
        <v>#REF!</v>
      </c>
      <c r="I35" s="75" t="str">
        <f t="shared" si="9"/>
        <v>#REF!</v>
      </c>
      <c r="J35" s="75" t="str">
        <f t="shared" si="9"/>
        <v>#REF!</v>
      </c>
      <c r="K35" s="75" t="str">
        <f t="shared" si="9"/>
        <v>#REF!</v>
      </c>
      <c r="L35" s="75" t="str">
        <f t="shared" si="9"/>
        <v>#REF!</v>
      </c>
      <c r="M35" s="75" t="str">
        <f t="shared" si="9"/>
        <v>#REF!</v>
      </c>
      <c r="N35" s="75" t="str">
        <f t="shared" si="9"/>
        <v>#REF!</v>
      </c>
      <c r="O35" s="75" t="str">
        <f t="shared" si="9"/>
        <v>#REF!</v>
      </c>
      <c r="P35" s="74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ht="13.5" customHeight="1">
      <c r="A36" s="12"/>
      <c r="B36" s="76" t="s">
        <v>558</v>
      </c>
      <c r="C36" s="77" t="str">
        <f>SUM(D36:O36)</f>
        <v>#REF!</v>
      </c>
      <c r="D36" s="78" t="str">
        <f t="shared" ref="D36:O36" si="10">D34/$C$33</f>
        <v>#REF!</v>
      </c>
      <c r="E36" s="78" t="str">
        <f t="shared" si="10"/>
        <v>#REF!</v>
      </c>
      <c r="F36" s="78" t="str">
        <f t="shared" si="10"/>
        <v>#REF!</v>
      </c>
      <c r="G36" s="78" t="str">
        <f t="shared" si="10"/>
        <v>#REF!</v>
      </c>
      <c r="H36" s="78" t="str">
        <f t="shared" si="10"/>
        <v>#REF!</v>
      </c>
      <c r="I36" s="78" t="str">
        <f t="shared" si="10"/>
        <v>#REF!</v>
      </c>
      <c r="J36" s="78" t="str">
        <f t="shared" si="10"/>
        <v>#REF!</v>
      </c>
      <c r="K36" s="78" t="str">
        <f t="shared" si="10"/>
        <v>#REF!</v>
      </c>
      <c r="L36" s="78" t="str">
        <f t="shared" si="10"/>
        <v>#REF!</v>
      </c>
      <c r="M36" s="78" t="str">
        <f t="shared" si="10"/>
        <v>#REF!</v>
      </c>
      <c r="N36" s="78" t="str">
        <f t="shared" si="10"/>
        <v>#REF!</v>
      </c>
      <c r="O36" s="78" t="str">
        <f t="shared" si="10"/>
        <v>#REF!</v>
      </c>
      <c r="P36" s="7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ht="13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ht="13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ht="13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13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ht="13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ht="13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ht="13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13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ht="13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ht="13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ht="13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ht="13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3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3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3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3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3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3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3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3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3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3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3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3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3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3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3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3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3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3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3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3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3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3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3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3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3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3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3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3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3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3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3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3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3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3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3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3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3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3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3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3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3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3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3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3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3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3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3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3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3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3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3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3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3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3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3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3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3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3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3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3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3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3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3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3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3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3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3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3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3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3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3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3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3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3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3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3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3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3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3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3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3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3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3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3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3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3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3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3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3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3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3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3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3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3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3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3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3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3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3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3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3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3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3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3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3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3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3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3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3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3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3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3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3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3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3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3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3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3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3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3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3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3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3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3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3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3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3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3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3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3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3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3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3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3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3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3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3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3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4:O4"/>
    <mergeCell ref="D30:P30"/>
  </mergeCells>
  <printOptions/>
  <pageMargins bottom="0.787401575" footer="0.0" header="0.0" left="0.511811024" right="0.511811024" top="0.787401575"/>
  <pageSetup orientation="landscape"/>
  <headerFooter>
    <oddHeader>&amp;CFF0000 INTERNO#_x000D_</oddHeader>
    <oddFooter>&amp;C_x000D_#FF0000 INTERNO</oddFooter>
  </headerFooter>
  <drawing r:id="rId1"/>
</worksheet>
</file>